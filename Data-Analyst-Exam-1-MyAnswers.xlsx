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Questions" sheetId="1" r:id="rId5"/>
    <sheet state="visible" name="Manufacturing country" sheetId="2" r:id="rId6"/>
    <sheet state="visible" name="Solution" sheetId="3" r:id="rId7"/>
  </sheets>
  <definedNames/>
  <calcPr/>
</workbook>
</file>

<file path=xl/sharedStrings.xml><?xml version="1.0" encoding="utf-8"?>
<sst xmlns="http://schemas.openxmlformats.org/spreadsheetml/2006/main" count="976" uniqueCount="154">
  <si>
    <t>You are the data analyst of a luxury car dealership. You were assigned with the following tasks:</t>
  </si>
  <si>
    <t xml:space="preserve">All rights reserved (c) </t>
  </si>
  <si>
    <t>What's the most popular car manufacturer?</t>
  </si>
  <si>
    <t>Excel-Practice-Online</t>
  </si>
  <si>
    <t>What's the most popular manufacturing country (Refer to "Manufacturing country" sheet)?</t>
  </si>
  <si>
    <t>What's the least popular color for cars?</t>
  </si>
  <si>
    <t>What's the average price per owner?</t>
  </si>
  <si>
    <t>Car</t>
  </si>
  <si>
    <t>Manufacturer</t>
  </si>
  <si>
    <t>Unique Manuafacturers</t>
  </si>
  <si>
    <t>Unique Counts</t>
  </si>
  <si>
    <t>Year</t>
  </si>
  <si>
    <t>KM Driven</t>
  </si>
  <si>
    <t>Color</t>
  </si>
  <si>
    <t>Unique Colors</t>
  </si>
  <si>
    <t>Unique Color counts</t>
  </si>
  <si>
    <t>Transimission</t>
  </si>
  <si>
    <t>Owner</t>
  </si>
  <si>
    <t>Price (USD)</t>
  </si>
  <si>
    <t>Unique Owners</t>
  </si>
  <si>
    <t>Avg Price</t>
  </si>
  <si>
    <t>BMW X5</t>
  </si>
  <si>
    <t>White</t>
  </si>
  <si>
    <t>Automatic</t>
  </si>
  <si>
    <t>1st owner</t>
  </si>
  <si>
    <t>Audi A3</t>
  </si>
  <si>
    <t>Audi</t>
  </si>
  <si>
    <t>Red</t>
  </si>
  <si>
    <t>Manual</t>
  </si>
  <si>
    <t>2nd owner</t>
  </si>
  <si>
    <t>Mercedes S-Class</t>
  </si>
  <si>
    <t>Mercedes</t>
  </si>
  <si>
    <t>Black</t>
  </si>
  <si>
    <t>3rd owner</t>
  </si>
  <si>
    <t>Lexus</t>
  </si>
  <si>
    <t>Blue</t>
  </si>
  <si>
    <t>4th owner</t>
  </si>
  <si>
    <t>BMW X3</t>
  </si>
  <si>
    <t>Tesla</t>
  </si>
  <si>
    <t>Yellow</t>
  </si>
  <si>
    <t>Lexus RX350</t>
  </si>
  <si>
    <t>Volvo</t>
  </si>
  <si>
    <t>Cadillac</t>
  </si>
  <si>
    <t>Jaguar</t>
  </si>
  <si>
    <t>BMW 3 Series</t>
  </si>
  <si>
    <t>Tesla Model 3</t>
  </si>
  <si>
    <t>Volvo XC90</t>
  </si>
  <si>
    <t>Audi Q7</t>
  </si>
  <si>
    <t>Cadillac XT5</t>
  </si>
  <si>
    <t>Jaguar XF</t>
  </si>
  <si>
    <t>BMW 428i</t>
  </si>
  <si>
    <t>Data Audit &amp; Cleaning Notes</t>
  </si>
  <si>
    <t>Source Reconciliation:.</t>
  </si>
  <si>
    <t xml:space="preserve"> Cross-referenced raw data against the Solution tab to identify missing entries</t>
  </si>
  <si>
    <t xml:space="preserve">Formatting Fixes: </t>
  </si>
  <si>
    <t>Applied TRIM and LEFT functions to resolve "dirty" strings in the Manufacturer and Color columns.</t>
  </si>
  <si>
    <t xml:space="preserve">Population Accuracy: </t>
  </si>
  <si>
    <t>Corrected the total record count to 18 (the original manual key only accounted for 16), ensuring all averages are 100% accurate.</t>
  </si>
  <si>
    <t xml:space="preserve">Integrity: </t>
  </si>
  <si>
    <t>All formulas now pull from "Cleaned" columns to prevent errors caused by hidden whitespaces.</t>
  </si>
  <si>
    <t>Company</t>
  </si>
  <si>
    <t>Country</t>
  </si>
  <si>
    <t>Unique Country</t>
  </si>
  <si>
    <t>Count By Country</t>
  </si>
  <si>
    <t>BMW</t>
  </si>
  <si>
    <t>Germany</t>
  </si>
  <si>
    <t>Japan</t>
  </si>
  <si>
    <t>USA</t>
  </si>
  <si>
    <t>UK</t>
  </si>
  <si>
    <t>Sweden</t>
  </si>
  <si>
    <t>$15400</t>
  </si>
  <si>
    <t>$24321</t>
  </si>
  <si>
    <t>$102342</t>
  </si>
  <si>
    <t>$55272</t>
  </si>
  <si>
    <t>$42000</t>
  </si>
  <si>
    <t>$51292</t>
  </si>
  <si>
    <t>$37605</t>
  </si>
  <si>
    <t xml:space="preserve">Blue </t>
  </si>
  <si>
    <t>$45000</t>
  </si>
  <si>
    <t>$13241</t>
  </si>
  <si>
    <t>$49344</t>
  </si>
  <si>
    <t>$52432</t>
  </si>
  <si>
    <t xml:space="preserve"> Black</t>
  </si>
  <si>
    <t>$17452</t>
  </si>
  <si>
    <t>$23250</t>
  </si>
  <si>
    <t>$32420</t>
  </si>
  <si>
    <t>$18454</t>
  </si>
  <si>
    <t>$41000</t>
  </si>
  <si>
    <t>$35240</t>
  </si>
  <si>
    <t>$22520</t>
  </si>
  <si>
    <t>Answer:</t>
  </si>
  <si>
    <t>To answer this, we must first extract the manufacturer's name from the "Car" column, as there are manufacturers that have more than one model listed.</t>
  </si>
  <si>
    <t>To do this, we can add a new column, and apply the LEFT function, combined with a FIND function, to extract only the first word from "Car":</t>
  </si>
  <si>
    <t xml:space="preserve">The LEFT function extracts characters from the left side of the cell. How many characters? This is determined in the 2nd argument here - And instead of writing a specific character position, </t>
  </si>
  <si>
    <t>we are using the FIND function to find the first space character position, and then subtract 1 (as we are not interested in extracting the space itself, only what's before.</t>
  </si>
  <si>
    <t>Click here to learn and practice the LEFT function</t>
  </si>
  <si>
    <t>Click here to learn and practice the FIND function</t>
  </si>
  <si>
    <t>Now that we have extracted the Manufacturer's name, we can check who's the most popular one:</t>
  </si>
  <si>
    <t>Let's use a UNIQUE &amp; COUNTIF for this example:</t>
  </si>
  <si>
    <t>Count</t>
  </si>
  <si>
    <t>The UNIQUE Function allows us to keep only 1 unique value for each of the values in the table above.</t>
  </si>
  <si>
    <t xml:space="preserve">All we have to do is write UNIQUE only once, select the range from which we wish to find our unique values, and that's it! </t>
  </si>
  <si>
    <t xml:space="preserve">If you are surprised by to looks of this function, that's because it's a dynamic array function - It works on an array, and if the array changes (let's say - We add a new manufacturer) - the unique list will change accordingly, showing the new manufacturer as well! </t>
  </si>
  <si>
    <t>Click here to learn and practice the UNIQUE function</t>
  </si>
  <si>
    <t>Please note that the UNIQUE function is supported in Excel 365/Online. If you are using older versions of Excel, you can use Remove Duplicates tool (in Data tab) instead.</t>
  </si>
  <si>
    <t>Click here to learn and practice the Remove Duplicates tool!</t>
  </si>
  <si>
    <t>Now, the only thing left is to count the occurences of each manufacturer in the table above. We can do this with the COUNTIF function which counts the amount of times each values appears in a table:</t>
  </si>
  <si>
    <t xml:space="preserve">Notice that we use absolute references (the dollar signs) to indicate that we want to always keep the same range we count, even if we go down to another row and apply the formula there. </t>
  </si>
  <si>
    <t>Click here to learn and practice the COUNTIF function</t>
  </si>
  <si>
    <t>Click here to learn and practice Absolute References as part of our must-read Excel Basics tutorial!</t>
  </si>
  <si>
    <t>First, we need to get the manufacturing country for each car maker.</t>
  </si>
  <si>
    <t xml:space="preserve">We can get this information from "Manufacturing country" sheet. But how? Well, by using a lookup function! </t>
  </si>
  <si>
    <t xml:space="preserve">Let's do this with XLOOKUP function, that will search for each manufacturer in the "Manufacturing country" sheet, and return the corresponding country. </t>
  </si>
  <si>
    <t>Click here to learn and practice the XLOOKUP function</t>
  </si>
  <si>
    <t>Please note that the UNIQUE function is supported in Excel 365/Online. If you are using older versions of Excel, you can use VLOOKUP or INDEX MATCH instead!</t>
  </si>
  <si>
    <t>This will be the solution using VLOOKUP instead of XLOOKUP:</t>
  </si>
  <si>
    <t>Click here to learn and practice the VLOOKUP function</t>
  </si>
  <si>
    <t>Click here to learn and practice the INDEX+MATCH functions</t>
  </si>
  <si>
    <t>Now that we have the Country for each Manufacturer, we can find the most popular country. We can use UNIQUE + COUNTIF functions, as we did in the previos question:</t>
  </si>
  <si>
    <t>That's easy! Let's do the UNIQUE + Countif Trick again:</t>
  </si>
  <si>
    <t xml:space="preserve">Wait! This is weird! The Blue &amp; Black color appear twice in our UNIQUE table? How come? </t>
  </si>
  <si>
    <t>Let's look closely at the original data - Can you see that there's a leading whitespace before the word Black?</t>
  </si>
  <si>
    <t>It seems that somebody left us an unpleasant surprise, and left whitespaces in some of the entries, which trick Excel to think that these are different values! (Whitespace is considered a character, thus a word with whitespace isn't the same as a word without one)</t>
  </si>
  <si>
    <t>But what about the Blue appearing twice? Let's look closely at our data, again:</t>
  </si>
  <si>
    <t xml:space="preserve">Notice the extra whitespace in the end? </t>
  </si>
  <si>
    <t>To get rid of these whitespaces, we can either:</t>
  </si>
  <si>
    <t>-</t>
  </si>
  <si>
    <t>Select the Color column, click CTRL+H (This will open Find&amp;Replace dialog), and replace all whitespaces (just hit space in the keyboard) with nothing (just keep it empty)</t>
  </si>
  <si>
    <t xml:space="preserve">Use the TRIM function to get rid of excess whitespaces - </t>
  </si>
  <si>
    <t>Color - Trimmed</t>
  </si>
  <si>
    <t>And then, let's apply the UNIQUE + COUNTIF again:</t>
  </si>
  <si>
    <t>Now, it's easy to see that yellow is the least popular color :-)</t>
  </si>
  <si>
    <t>Click here to learn and practice the TRIM function</t>
  </si>
  <si>
    <t>Let's use UNIQUE again, and this time combine it with AVERAGEIF, which calculates AVERAGE based on criteria:</t>
  </si>
  <si>
    <t>Average Price</t>
  </si>
  <si>
    <t>Click here to learn and practice the AVERAGEIF function</t>
  </si>
  <si>
    <t>Hey! Why is this not working?!</t>
  </si>
  <si>
    <t>#DIV/0 error indicates that the average can't be calculated as we divide by zero. That means that... we don't have any values at all? How is this even possible?!</t>
  </si>
  <si>
    <t>Let's look at the prices closely:</t>
  </si>
  <si>
    <t xml:space="preserve">Can you notice that the $ sign is actually a character? Excel can't handle with this, and thinks that this is not a number, but rather a text string! </t>
  </si>
  <si>
    <t xml:space="preserve">To be able to calculate this correctly, we must get rid of the $ sign. You can do this by either selecting the price column, clicking CTRL+H (Find&amp;Replace), and replacing $ with nothing (keep it empty). </t>
  </si>
  <si>
    <t>Alternatively, you can use the SUBSTITUTE function to get rid of the $ sign systematically:</t>
  </si>
  <si>
    <t>Price - Without $ sign</t>
  </si>
  <si>
    <t>Click here to learn more about SUBSTITUTE function!</t>
  </si>
  <si>
    <t>And now, we can finally get our work done:</t>
  </si>
  <si>
    <t xml:space="preserve">Wait! Still not? Why? </t>
  </si>
  <si>
    <t>Well, this is a tricky one... While it looked like we solved our problem, our output is still considered a text, and not a number. If Excel think something is text, it can't do any calculations on it (Even if it looks like a number!)</t>
  </si>
  <si>
    <t>To force it to become a number, we can use the VALUE function, after applying the SUBSTITUTE function first:</t>
  </si>
  <si>
    <t>Price - Without $ sign and stored as NUMBER!</t>
  </si>
  <si>
    <t>Click here to learn about the VALUE function!</t>
  </si>
  <si>
    <t>And finally, our result is.... :</t>
  </si>
  <si>
    <r>
      <rPr>
        <rFont val="Calibri"/>
        <b/>
        <color rgb="FF000000"/>
        <sz val="11.0"/>
      </rPr>
      <t xml:space="preserve">Tip - </t>
    </r>
    <r>
      <rPr>
        <rFont val="Calibri"/>
        <color rgb="FF000000"/>
        <sz val="11.0"/>
      </rPr>
      <t>If you still wish to keep the $ sign, but without having to actually type it - Use Cell Formatting instead:</t>
    </r>
  </si>
  <si>
    <t>That's it! Hope you enjoyed folks! Don't forget to share us with your friends if you love the content!</t>
  </si>
  <si>
    <t xml:space="preserve">Visit Excel Practice Online for more exercises and tutorials! </t>
  </si>
</sst>
</file>

<file path=xl/styles.xml><?xml version="1.0" encoding="utf-8"?>
<styleSheet xmlns="http://schemas.openxmlformats.org/spreadsheetml/2006/main" xmlns:x14ac="http://schemas.microsoft.com/office/spreadsheetml/2009/9/ac" xmlns:mc="http://schemas.openxmlformats.org/markup-compatibility/2006">
  <fonts count="9">
    <font>
      <sz val="11.0"/>
      <color theme="1"/>
      <name val="Calibri"/>
      <scheme val="minor"/>
    </font>
    <font>
      <b/>
      <sz val="11.0"/>
      <color theme="1"/>
      <name val="Calibri"/>
    </font>
    <font>
      <color theme="1"/>
      <name val="Calibri"/>
      <scheme val="minor"/>
    </font>
    <font>
      <u/>
      <sz val="11.0"/>
      <color theme="10"/>
      <name val="Calibri"/>
    </font>
    <font>
      <b/>
      <color theme="1"/>
      <name val="Calibri"/>
      <scheme val="minor"/>
    </font>
    <font>
      <sz val="11.0"/>
      <color theme="1"/>
      <name val="Calibri"/>
    </font>
    <font>
      <sz val="11.0"/>
      <color rgb="FF000000"/>
      <name val="Calibri"/>
    </font>
    <font>
      <sz val="11.0"/>
      <color rgb="FF444444"/>
      <name val="Calibri"/>
    </font>
    <font>
      <b/>
      <u/>
      <sz val="11.0"/>
      <color theme="10"/>
      <name val="Calibri"/>
    </font>
  </fonts>
  <fills count="5">
    <fill>
      <patternFill patternType="none"/>
    </fill>
    <fill>
      <patternFill patternType="lightGray"/>
    </fill>
    <fill>
      <patternFill patternType="solid">
        <fgColor rgb="FF00FF00"/>
        <bgColor rgb="FF00FF00"/>
      </patternFill>
    </fill>
    <fill>
      <patternFill patternType="solid">
        <fgColor rgb="FFFFFFFF"/>
        <bgColor rgb="FFFFFFFF"/>
      </patternFill>
    </fill>
    <fill>
      <patternFill patternType="solid">
        <fgColor rgb="FFFFFF00"/>
        <bgColor rgb="FFFFFF00"/>
      </patternFill>
    </fill>
  </fills>
  <borders count="2">
    <border/>
    <border>
      <left/>
      <right/>
      <top/>
      <bottom/>
    </border>
  </borders>
  <cellStyleXfs count="1">
    <xf borderId="0" fillId="0" fontId="0" numFmtId="0" applyAlignment="1" applyFont="1"/>
  </cellStyleXfs>
  <cellXfs count="20">
    <xf borderId="0" fillId="0" fontId="0" numFmtId="0" xfId="0" applyAlignment="1" applyFont="1">
      <alignment readingOrder="0" shrinkToFit="0" vertical="bottom" wrapText="0"/>
    </xf>
    <xf borderId="0" fillId="0" fontId="1" numFmtId="0" xfId="0" applyFont="1"/>
    <xf borderId="0" fillId="0" fontId="2" numFmtId="3" xfId="0" applyFont="1" applyNumberFormat="1"/>
    <xf borderId="0" fillId="0" fontId="2" numFmtId="0" xfId="0" applyFont="1"/>
    <xf borderId="0" fillId="0" fontId="3" numFmtId="0" xfId="0" applyFont="1"/>
    <xf borderId="0" fillId="0" fontId="1" numFmtId="0" xfId="0" applyAlignment="1" applyFont="1">
      <alignment readingOrder="0"/>
    </xf>
    <xf borderId="0" fillId="0" fontId="2" numFmtId="0" xfId="0" applyAlignment="1" applyFont="1">
      <alignment readingOrder="0"/>
    </xf>
    <xf borderId="0" fillId="0" fontId="1" numFmtId="0" xfId="0" applyAlignment="1" applyFont="1">
      <alignment readingOrder="0"/>
    </xf>
    <xf borderId="0" fillId="0" fontId="1" numFmtId="3" xfId="0" applyAlignment="1" applyFont="1" applyNumberFormat="1">
      <alignment readingOrder="0"/>
    </xf>
    <xf borderId="0" fillId="2" fontId="2" numFmtId="0" xfId="0" applyFill="1" applyFont="1"/>
    <xf borderId="0" fillId="0" fontId="2" numFmtId="0" xfId="0" applyFont="1"/>
    <xf borderId="0" fillId="3" fontId="2" numFmtId="0" xfId="0" applyFill="1" applyFont="1"/>
    <xf borderId="0" fillId="0" fontId="2" numFmtId="0" xfId="0" applyFont="1"/>
    <xf borderId="0" fillId="0" fontId="4" numFmtId="0" xfId="0" applyAlignment="1" applyFont="1">
      <alignment readingOrder="0"/>
    </xf>
    <xf borderId="0" fillId="3" fontId="2" numFmtId="0" xfId="0" applyAlignment="1" applyFont="1">
      <alignment readingOrder="0"/>
    </xf>
    <xf borderId="1" fillId="4" fontId="5" numFmtId="0" xfId="0" applyBorder="1" applyFill="1" applyFont="1"/>
    <xf borderId="0" fillId="0" fontId="6" numFmtId="0" xfId="0" applyFont="1"/>
    <xf borderId="0" fillId="0" fontId="7" numFmtId="0" xfId="0" applyFont="1"/>
    <xf borderId="1" fillId="4" fontId="7" numFmtId="0" xfId="0" applyBorder="1" applyFont="1"/>
    <xf borderId="0" fillId="0" fontId="8"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4.png"/><Relationship Id="rId3" Type="http://schemas.openxmlformats.org/officeDocument/2006/relationships/image" Target="../media/image2.png"/><Relationship Id="rId4"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194</xdr:row>
      <xdr:rowOff>9525</xdr:rowOff>
    </xdr:from>
    <xdr:ext cx="2400300" cy="561975"/>
    <xdr:pic>
      <xdr:nvPicPr>
        <xdr:cNvPr id="0" name="image3.png"/>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133350</xdr:colOff>
      <xdr:row>184</xdr:row>
      <xdr:rowOff>161925</xdr:rowOff>
    </xdr:from>
    <xdr:ext cx="1495425" cy="771525"/>
    <xdr:pic>
      <xdr:nvPicPr>
        <xdr:cNvPr id="0" name="image4.png"/>
        <xdr:cNvPicPr preferRelativeResize="0"/>
      </xdr:nvPicPr>
      <xdr:blipFill>
        <a:blip cstate="print" r:embed="rId2"/>
        <a:stretch>
          <a:fillRect/>
        </a:stretch>
      </xdr:blipFill>
      <xdr:spPr>
        <a:prstGeom prst="rect">
          <a:avLst/>
        </a:prstGeom>
        <a:noFill/>
      </xdr:spPr>
    </xdr:pic>
    <xdr:clientData fLocksWithSheet="0"/>
  </xdr:oneCellAnchor>
  <xdr:oneCellAnchor>
    <xdr:from>
      <xdr:col>1</xdr:col>
      <xdr:colOff>0</xdr:colOff>
      <xdr:row>253</xdr:row>
      <xdr:rowOff>9525</xdr:rowOff>
    </xdr:from>
    <xdr:ext cx="1647825" cy="1209675"/>
    <xdr:pic>
      <xdr:nvPicPr>
        <xdr:cNvPr id="0" name="image2.png"/>
        <xdr:cNvPicPr preferRelativeResize="0"/>
      </xdr:nvPicPr>
      <xdr:blipFill>
        <a:blip cstate="print" r:embed="rId3"/>
        <a:stretch>
          <a:fillRect/>
        </a:stretch>
      </xdr:blipFill>
      <xdr:spPr>
        <a:prstGeom prst="rect">
          <a:avLst/>
        </a:prstGeom>
        <a:noFill/>
      </xdr:spPr>
    </xdr:pic>
    <xdr:clientData fLocksWithSheet="0"/>
  </xdr:oneCellAnchor>
  <xdr:oneCellAnchor>
    <xdr:from>
      <xdr:col>0</xdr:col>
      <xdr:colOff>228600</xdr:colOff>
      <xdr:row>331</xdr:row>
      <xdr:rowOff>161925</xdr:rowOff>
    </xdr:from>
    <xdr:ext cx="2981325" cy="1133475"/>
    <xdr:pic>
      <xdr:nvPicPr>
        <xdr:cNvPr id="0" name="image1.png"/>
        <xdr:cNvPicPr preferRelativeResize="0"/>
      </xdr:nvPicPr>
      <xdr:blipFill>
        <a:blip cstate="print" r:embed="rId4"/>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excel-practice-online.com/"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1" Type="http://schemas.openxmlformats.org/officeDocument/2006/relationships/hyperlink" Target="https://excel-practice-online.com/functions/averageif/" TargetMode="External"/><Relationship Id="rId10" Type="http://schemas.openxmlformats.org/officeDocument/2006/relationships/hyperlink" Target="https://excel-practice-online.com/functions/trim/" TargetMode="External"/><Relationship Id="rId13" Type="http://schemas.openxmlformats.org/officeDocument/2006/relationships/hyperlink" Target="https://excel-practice-online.com/functions/value/" TargetMode="External"/><Relationship Id="rId12" Type="http://schemas.openxmlformats.org/officeDocument/2006/relationships/hyperlink" Target="https://support.microsoft.com/en-us/office/substitute-function-6434944e-a904-4336-a9b0-1e58df3bc332" TargetMode="External"/><Relationship Id="rId1" Type="http://schemas.openxmlformats.org/officeDocument/2006/relationships/hyperlink" Target="https://excel-practice-online.com/functions/left-mid-right-text-functions/" TargetMode="External"/><Relationship Id="rId2" Type="http://schemas.openxmlformats.org/officeDocument/2006/relationships/hyperlink" Target="https://excel-practice-online.com/functions/find/" TargetMode="External"/><Relationship Id="rId3" Type="http://schemas.openxmlformats.org/officeDocument/2006/relationships/hyperlink" Target="https://excel-practice-online.com/functions/unique/" TargetMode="External"/><Relationship Id="rId4" Type="http://schemas.openxmlformats.org/officeDocument/2006/relationships/hyperlink" Target="https://excel-practice-online.com/tools/remove-duplicates/" TargetMode="External"/><Relationship Id="rId9" Type="http://schemas.openxmlformats.org/officeDocument/2006/relationships/hyperlink" Target="https://excel-practice-online.com/functions/index-match/" TargetMode="External"/><Relationship Id="rId15" Type="http://schemas.openxmlformats.org/officeDocument/2006/relationships/drawing" Target="../drawings/drawing3.xml"/><Relationship Id="rId14" Type="http://schemas.openxmlformats.org/officeDocument/2006/relationships/hyperlink" Target="https://excel-practice-online.com/" TargetMode="External"/><Relationship Id="rId5" Type="http://schemas.openxmlformats.org/officeDocument/2006/relationships/hyperlink" Target="https://excel-practice-online.com/functions/countif-function/" TargetMode="External"/><Relationship Id="rId6" Type="http://schemas.openxmlformats.org/officeDocument/2006/relationships/hyperlink" Target="https://excel-practice-online.com/functions/excel_basics/" TargetMode="External"/><Relationship Id="rId7" Type="http://schemas.openxmlformats.org/officeDocument/2006/relationships/hyperlink" Target="https://excel-practice-online.com/functions/xlookup/" TargetMode="External"/><Relationship Id="rId8" Type="http://schemas.openxmlformats.org/officeDocument/2006/relationships/hyperlink" Target="https://excel-practice-online.com/functions/vlookup-function/"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86"/>
    <col customWidth="1" min="2" max="4" width="19.29"/>
    <col customWidth="1" min="5" max="6" width="13.71"/>
    <col customWidth="1" min="7" max="7" width="19.14"/>
    <col customWidth="1" min="8" max="10" width="10.86"/>
    <col customWidth="1" min="11" max="11" width="21.71"/>
    <col customWidth="1" min="12" max="12" width="16.57"/>
    <col customWidth="1" min="13" max="13" width="16.0"/>
    <col customWidth="1" min="14" max="31" width="8.71"/>
  </cols>
  <sheetData>
    <row r="1">
      <c r="B1" s="1" t="s">
        <v>0</v>
      </c>
      <c r="C1" s="1"/>
      <c r="D1" s="1"/>
      <c r="E1" s="1"/>
      <c r="M1" s="2"/>
      <c r="P1" s="3" t="s">
        <v>1</v>
      </c>
    </row>
    <row r="2">
      <c r="A2" s="3">
        <v>1.0</v>
      </c>
      <c r="B2" s="3" t="s">
        <v>2</v>
      </c>
      <c r="M2" s="2"/>
      <c r="P2" s="4" t="s">
        <v>3</v>
      </c>
    </row>
    <row r="3">
      <c r="A3" s="3">
        <v>2.0</v>
      </c>
      <c r="B3" s="3" t="s">
        <v>4</v>
      </c>
      <c r="M3" s="2"/>
    </row>
    <row r="4">
      <c r="A4" s="3">
        <v>3.0</v>
      </c>
      <c r="B4" s="3" t="s">
        <v>5</v>
      </c>
      <c r="M4" s="2"/>
    </row>
    <row r="5">
      <c r="A5" s="3">
        <v>4.0</v>
      </c>
      <c r="B5" s="3" t="s">
        <v>6</v>
      </c>
      <c r="M5" s="2"/>
    </row>
    <row r="6">
      <c r="M6" s="2"/>
    </row>
    <row r="7">
      <c r="B7" s="5" t="s">
        <v>7</v>
      </c>
      <c r="C7" s="6" t="s">
        <v>8</v>
      </c>
      <c r="D7" s="6" t="s">
        <v>9</v>
      </c>
      <c r="E7" s="6" t="s">
        <v>10</v>
      </c>
      <c r="F7" s="5" t="s">
        <v>11</v>
      </c>
      <c r="G7" s="5" t="s">
        <v>12</v>
      </c>
      <c r="H7" s="5" t="s">
        <v>13</v>
      </c>
      <c r="I7" s="7" t="s">
        <v>14</v>
      </c>
      <c r="J7" s="7" t="s">
        <v>15</v>
      </c>
      <c r="K7" s="5" t="s">
        <v>16</v>
      </c>
      <c r="L7" s="5" t="s">
        <v>17</v>
      </c>
      <c r="M7" s="8" t="s">
        <v>18</v>
      </c>
      <c r="N7" s="6" t="s">
        <v>19</v>
      </c>
      <c r="O7" s="6" t="s">
        <v>20</v>
      </c>
    </row>
    <row r="8">
      <c r="B8" s="3" t="s">
        <v>21</v>
      </c>
      <c r="C8" s="3" t="str">
        <f t="shared" ref="C8:C17" si="1">LEFT(B8:B25,find(" ",B8)-1)</f>
        <v>BMW</v>
      </c>
      <c r="D8" s="9" t="str">
        <f t="array" ref="D8:D15">Unique(C8:C25)</f>
        <v>BMW</v>
      </c>
      <c r="E8" s="9">
        <f t="shared" ref="E8:E15" si="2">countif(C8:C25,D8)</f>
        <v>7</v>
      </c>
      <c r="F8" s="10">
        <v>2012.0</v>
      </c>
      <c r="G8" s="10">
        <v>342358.0</v>
      </c>
      <c r="H8" s="11" t="s">
        <v>22</v>
      </c>
      <c r="I8" s="11" t="str">
        <f t="array" ref="I8:I12">unique($H$8:$H$25)</f>
        <v>White</v>
      </c>
      <c r="J8" s="11">
        <f t="shared" ref="J8:J12" si="3">countif($H$8:$H$25,I8)</f>
        <v>6</v>
      </c>
      <c r="K8" s="3" t="s">
        <v>23</v>
      </c>
      <c r="L8" s="3" t="s">
        <v>24</v>
      </c>
      <c r="M8" s="2">
        <v>15400.0</v>
      </c>
      <c r="N8" s="3" t="str">
        <f t="array" ref="N8:N11">Unique($L$8:$L$25)</f>
        <v>1st owner</v>
      </c>
      <c r="O8" s="3">
        <f t="shared" ref="O8:O11" si="4">AVerageif($L$8:$L$25,N8,$M$8:$M$25)</f>
        <v>36513.66667</v>
      </c>
      <c r="P8" s="11"/>
      <c r="Q8" s="11"/>
    </row>
    <row r="9">
      <c r="B9" s="3" t="s">
        <v>25</v>
      </c>
      <c r="C9" s="3" t="str">
        <f t="shared" si="1"/>
        <v>Audi</v>
      </c>
      <c r="D9" s="3" t="s">
        <v>26</v>
      </c>
      <c r="E9" s="3">
        <f t="shared" si="2"/>
        <v>2</v>
      </c>
      <c r="F9" s="10">
        <v>2017.0</v>
      </c>
      <c r="G9" s="10">
        <v>130000.0</v>
      </c>
      <c r="H9" s="11" t="s">
        <v>27</v>
      </c>
      <c r="I9" s="11" t="s">
        <v>27</v>
      </c>
      <c r="J9" s="11">
        <f t="shared" si="3"/>
        <v>4</v>
      </c>
      <c r="K9" s="3" t="s">
        <v>28</v>
      </c>
      <c r="L9" s="3" t="s">
        <v>29</v>
      </c>
      <c r="M9" s="2">
        <v>24321.0</v>
      </c>
      <c r="N9" s="3" t="s">
        <v>29</v>
      </c>
      <c r="O9" s="3">
        <f t="shared" si="4"/>
        <v>30718</v>
      </c>
    </row>
    <row r="10">
      <c r="B10" s="3" t="s">
        <v>30</v>
      </c>
      <c r="C10" s="3" t="str">
        <f t="shared" si="1"/>
        <v>Mercedes</v>
      </c>
      <c r="D10" s="3" t="s">
        <v>31</v>
      </c>
      <c r="E10" s="3">
        <f t="shared" si="2"/>
        <v>2</v>
      </c>
      <c r="F10" s="10">
        <v>2020.0</v>
      </c>
      <c r="G10" s="10">
        <v>92450.0</v>
      </c>
      <c r="H10" s="11" t="s">
        <v>32</v>
      </c>
      <c r="I10" s="11" t="s">
        <v>32</v>
      </c>
      <c r="J10" s="11">
        <f t="shared" si="3"/>
        <v>4</v>
      </c>
      <c r="K10" s="3" t="s">
        <v>23</v>
      </c>
      <c r="L10" s="3" t="s">
        <v>33</v>
      </c>
      <c r="M10" s="2">
        <v>102342.0</v>
      </c>
      <c r="N10" s="3" t="s">
        <v>33</v>
      </c>
      <c r="O10" s="3">
        <f t="shared" si="4"/>
        <v>63746.33333</v>
      </c>
    </row>
    <row r="11">
      <c r="B11" s="3" t="s">
        <v>21</v>
      </c>
      <c r="C11" s="3" t="str">
        <f t="shared" si="1"/>
        <v>BMW</v>
      </c>
      <c r="D11" s="3" t="s">
        <v>34</v>
      </c>
      <c r="E11" s="3">
        <f t="shared" si="2"/>
        <v>3</v>
      </c>
      <c r="F11" s="10">
        <v>2020.0</v>
      </c>
      <c r="G11" s="10">
        <v>76240.0</v>
      </c>
      <c r="H11" s="11" t="s">
        <v>22</v>
      </c>
      <c r="I11" s="11" t="s">
        <v>35</v>
      </c>
      <c r="J11" s="11">
        <f t="shared" si="3"/>
        <v>3</v>
      </c>
      <c r="K11" s="3" t="s">
        <v>23</v>
      </c>
      <c r="L11" s="3" t="s">
        <v>29</v>
      </c>
      <c r="M11" s="2">
        <v>55272.0</v>
      </c>
      <c r="N11" s="3" t="s">
        <v>36</v>
      </c>
      <c r="O11" s="3">
        <f t="shared" si="4"/>
        <v>22520</v>
      </c>
    </row>
    <row r="12">
      <c r="B12" s="3" t="s">
        <v>37</v>
      </c>
      <c r="C12" s="3" t="str">
        <f t="shared" si="1"/>
        <v>BMW</v>
      </c>
      <c r="D12" s="3" t="s">
        <v>38</v>
      </c>
      <c r="E12" s="3">
        <f t="shared" si="2"/>
        <v>1</v>
      </c>
      <c r="F12" s="10">
        <v>2021.0</v>
      </c>
      <c r="G12" s="10">
        <v>17283.0</v>
      </c>
      <c r="H12" s="11" t="s">
        <v>22</v>
      </c>
      <c r="I12" s="9" t="s">
        <v>39</v>
      </c>
      <c r="J12" s="9">
        <f t="shared" si="3"/>
        <v>1</v>
      </c>
      <c r="K12" s="3" t="s">
        <v>28</v>
      </c>
      <c r="L12" s="3" t="s">
        <v>24</v>
      </c>
      <c r="M12" s="2">
        <v>42000.0</v>
      </c>
    </row>
    <row r="13">
      <c r="B13" s="3" t="s">
        <v>40</v>
      </c>
      <c r="C13" s="3" t="str">
        <f t="shared" si="1"/>
        <v>Lexus</v>
      </c>
      <c r="D13" s="3" t="s">
        <v>41</v>
      </c>
      <c r="E13" s="3">
        <f t="shared" si="2"/>
        <v>1</v>
      </c>
      <c r="F13" s="10">
        <v>2020.0</v>
      </c>
      <c r="G13" s="10">
        <v>98312.0</v>
      </c>
      <c r="H13" s="11" t="s">
        <v>27</v>
      </c>
      <c r="I13" s="11"/>
      <c r="J13" s="11"/>
      <c r="K13" s="3" t="s">
        <v>23</v>
      </c>
      <c r="L13" s="3" t="s">
        <v>33</v>
      </c>
      <c r="M13" s="2">
        <v>51292.0</v>
      </c>
    </row>
    <row r="14">
      <c r="B14" s="3" t="s">
        <v>37</v>
      </c>
      <c r="C14" s="3" t="str">
        <f t="shared" si="1"/>
        <v>BMW</v>
      </c>
      <c r="D14" s="3" t="s">
        <v>42</v>
      </c>
      <c r="E14" s="3">
        <f t="shared" si="2"/>
        <v>1</v>
      </c>
      <c r="F14" s="10">
        <v>2018.0</v>
      </c>
      <c r="G14" s="10">
        <v>156784.0</v>
      </c>
      <c r="H14" s="11" t="s">
        <v>35</v>
      </c>
      <c r="I14" s="11"/>
      <c r="J14" s="11"/>
      <c r="K14" s="3" t="s">
        <v>28</v>
      </c>
      <c r="L14" s="3" t="s">
        <v>33</v>
      </c>
      <c r="M14" s="2">
        <v>37605.0</v>
      </c>
    </row>
    <row r="15">
      <c r="B15" s="3" t="s">
        <v>21</v>
      </c>
      <c r="C15" s="3" t="str">
        <f t="shared" si="1"/>
        <v>BMW</v>
      </c>
      <c r="D15" s="3" t="s">
        <v>43</v>
      </c>
      <c r="E15" s="3">
        <f t="shared" si="2"/>
        <v>1</v>
      </c>
      <c r="F15" s="10">
        <v>2019.0</v>
      </c>
      <c r="G15" s="10">
        <v>52034.0</v>
      </c>
      <c r="H15" s="11" t="s">
        <v>35</v>
      </c>
      <c r="I15" s="11"/>
      <c r="J15" s="11"/>
      <c r="K15" s="3" t="s">
        <v>23</v>
      </c>
      <c r="L15" s="3" t="s">
        <v>24</v>
      </c>
      <c r="M15" s="2">
        <v>45000.0</v>
      </c>
    </row>
    <row r="16">
      <c r="B16" s="3" t="s">
        <v>44</v>
      </c>
      <c r="C16" s="3" t="str">
        <f t="shared" si="1"/>
        <v>BMW</v>
      </c>
      <c r="F16" s="10">
        <v>2011.0</v>
      </c>
      <c r="G16" s="10">
        <v>205204.0</v>
      </c>
      <c r="H16" s="11" t="s">
        <v>27</v>
      </c>
      <c r="I16" s="11"/>
      <c r="J16" s="11"/>
      <c r="K16" s="3" t="s">
        <v>23</v>
      </c>
      <c r="L16" s="3" t="s">
        <v>29</v>
      </c>
      <c r="M16" s="2">
        <v>13241.0</v>
      </c>
    </row>
    <row r="17">
      <c r="B17" s="3" t="s">
        <v>30</v>
      </c>
      <c r="C17" s="3" t="str">
        <f t="shared" si="1"/>
        <v>Mercedes</v>
      </c>
      <c r="F17" s="10">
        <v>2014.0</v>
      </c>
      <c r="G17" s="10">
        <v>152985.0</v>
      </c>
      <c r="H17" s="11" t="s">
        <v>32</v>
      </c>
      <c r="I17" s="11"/>
      <c r="J17" s="11"/>
      <c r="K17" s="3" t="s">
        <v>23</v>
      </c>
      <c r="L17" s="3" t="s">
        <v>29</v>
      </c>
      <c r="M17" s="2">
        <v>49344.0</v>
      </c>
    </row>
    <row r="18">
      <c r="B18" s="3" t="s">
        <v>45</v>
      </c>
      <c r="C18" s="3" t="str">
        <f t="shared" ref="C18:C19" si="5">LEFT(B18:B36,find(" ",B18)-1)</f>
        <v>Tesla</v>
      </c>
      <c r="F18" s="10">
        <v>2018.0</v>
      </c>
      <c r="G18" s="10">
        <v>76429.0</v>
      </c>
      <c r="H18" s="11" t="s">
        <v>39</v>
      </c>
      <c r="I18" s="11"/>
      <c r="J18" s="11"/>
      <c r="K18" s="3" t="s">
        <v>23</v>
      </c>
      <c r="L18" s="3" t="s">
        <v>24</v>
      </c>
      <c r="M18" s="2">
        <v>52432.0</v>
      </c>
    </row>
    <row r="19">
      <c r="B19" s="3" t="s">
        <v>46</v>
      </c>
      <c r="C19" s="3" t="str">
        <f t="shared" si="5"/>
        <v>Volvo</v>
      </c>
      <c r="F19" s="10">
        <v>2013.0</v>
      </c>
      <c r="G19" s="10">
        <v>254028.0</v>
      </c>
      <c r="H19" s="11" t="s">
        <v>32</v>
      </c>
      <c r="I19" s="11"/>
      <c r="J19" s="11"/>
      <c r="K19" s="3" t="s">
        <v>28</v>
      </c>
      <c r="L19" s="3" t="s">
        <v>29</v>
      </c>
      <c r="M19" s="2">
        <v>17452.0</v>
      </c>
    </row>
    <row r="20">
      <c r="B20" s="3" t="s">
        <v>47</v>
      </c>
      <c r="C20" s="3" t="str">
        <f t="shared" ref="C20:C21" si="6">LEFT(B20:B39,find(" ",B20)-1)</f>
        <v>Audi</v>
      </c>
      <c r="F20" s="10">
        <v>2014.0</v>
      </c>
      <c r="G20" s="10">
        <v>45832.0</v>
      </c>
      <c r="H20" s="11" t="s">
        <v>22</v>
      </c>
      <c r="I20" s="11"/>
      <c r="J20" s="11"/>
      <c r="K20" s="3" t="s">
        <v>28</v>
      </c>
      <c r="L20" s="3" t="s">
        <v>24</v>
      </c>
      <c r="M20" s="2">
        <v>23250.0</v>
      </c>
    </row>
    <row r="21" ht="15.75" customHeight="1">
      <c r="B21" s="3" t="s">
        <v>48</v>
      </c>
      <c r="C21" s="3" t="str">
        <f t="shared" si="6"/>
        <v>Cadillac</v>
      </c>
      <c r="F21" s="10">
        <v>2018.0</v>
      </c>
      <c r="G21" s="10">
        <v>67591.0</v>
      </c>
      <c r="H21" s="11" t="s">
        <v>35</v>
      </c>
      <c r="I21" s="11"/>
      <c r="J21" s="11"/>
      <c r="K21" s="3" t="s">
        <v>23</v>
      </c>
      <c r="L21" s="3" t="s">
        <v>29</v>
      </c>
      <c r="M21" s="2">
        <v>32420.0</v>
      </c>
    </row>
    <row r="22" ht="15.75" customHeight="1">
      <c r="B22" s="3" t="s">
        <v>49</v>
      </c>
      <c r="C22" s="3" t="str">
        <f t="shared" ref="C22:C25" si="7">LEFT(B22:B42,find(" ",B22)-1)</f>
        <v>Jaguar</v>
      </c>
      <c r="F22" s="10">
        <v>2013.0</v>
      </c>
      <c r="G22" s="10">
        <v>85320.0</v>
      </c>
      <c r="H22" s="11" t="s">
        <v>22</v>
      </c>
      <c r="I22" s="11"/>
      <c r="J22" s="11"/>
      <c r="K22" s="3" t="s">
        <v>23</v>
      </c>
      <c r="L22" s="3" t="s">
        <v>29</v>
      </c>
      <c r="M22" s="2">
        <v>18454.0</v>
      </c>
    </row>
    <row r="23" ht="15.75" customHeight="1">
      <c r="B23" s="3" t="s">
        <v>40</v>
      </c>
      <c r="C23" s="3" t="str">
        <f t="shared" si="7"/>
        <v>Lexus</v>
      </c>
      <c r="F23" s="10">
        <v>2016.0</v>
      </c>
      <c r="G23" s="10">
        <v>5000.0</v>
      </c>
      <c r="H23" s="11" t="s">
        <v>22</v>
      </c>
      <c r="I23" s="11"/>
      <c r="J23" s="11"/>
      <c r="K23" s="3" t="s">
        <v>23</v>
      </c>
      <c r="L23" s="3" t="s">
        <v>24</v>
      </c>
      <c r="M23" s="2">
        <v>41000.0</v>
      </c>
    </row>
    <row r="24" ht="15.75" customHeight="1">
      <c r="B24" s="3" t="s">
        <v>50</v>
      </c>
      <c r="C24" s="3" t="str">
        <f t="shared" si="7"/>
        <v>BMW</v>
      </c>
      <c r="F24" s="10">
        <v>2017.0</v>
      </c>
      <c r="G24" s="10">
        <v>92450.0</v>
      </c>
      <c r="H24" s="11" t="s">
        <v>27</v>
      </c>
      <c r="I24" s="11"/>
      <c r="J24" s="11"/>
      <c r="K24" s="3" t="s">
        <v>28</v>
      </c>
      <c r="L24" s="3" t="s">
        <v>29</v>
      </c>
      <c r="M24" s="2">
        <v>35240.0</v>
      </c>
    </row>
    <row r="25" ht="15.75" customHeight="1">
      <c r="B25" s="3" t="s">
        <v>40</v>
      </c>
      <c r="C25" s="3" t="str">
        <f t="shared" si="7"/>
        <v>Lexus</v>
      </c>
      <c r="F25" s="10">
        <v>2015.0</v>
      </c>
      <c r="G25" s="10">
        <v>130000.0</v>
      </c>
      <c r="H25" s="11" t="s">
        <v>32</v>
      </c>
      <c r="I25" s="11"/>
      <c r="J25" s="11"/>
      <c r="K25" s="3" t="s">
        <v>23</v>
      </c>
      <c r="L25" s="3" t="s">
        <v>36</v>
      </c>
      <c r="M25" s="2">
        <v>22520.0</v>
      </c>
    </row>
    <row r="26" ht="15.75" customHeight="1">
      <c r="M26" s="2"/>
    </row>
    <row r="27" ht="15.75" customHeight="1">
      <c r="M27" s="2"/>
    </row>
    <row r="28" ht="15.75" customHeight="1">
      <c r="M28" s="2"/>
    </row>
    <row r="29" ht="15.75" customHeight="1">
      <c r="M29" s="2"/>
    </row>
    <row r="30" ht="15.75" customHeight="1">
      <c r="E30" s="12"/>
      <c r="M30" s="2"/>
    </row>
    <row r="31" ht="15.75" customHeight="1">
      <c r="B31" s="13" t="s">
        <v>51</v>
      </c>
      <c r="E31" s="12"/>
      <c r="M31" s="2"/>
    </row>
    <row r="32" ht="15.75" customHeight="1">
      <c r="E32" s="12"/>
      <c r="M32" s="2"/>
    </row>
    <row r="33" ht="15.75" customHeight="1">
      <c r="B33" s="13" t="s">
        <v>52</v>
      </c>
      <c r="E33" s="12"/>
      <c r="M33" s="2"/>
    </row>
    <row r="34" ht="15.75" customHeight="1">
      <c r="B34" s="6" t="s">
        <v>53</v>
      </c>
      <c r="E34" s="12"/>
      <c r="M34" s="2"/>
    </row>
    <row r="35" ht="15.75" customHeight="1">
      <c r="B35" s="13"/>
      <c r="E35" s="12"/>
      <c r="M35" s="2"/>
    </row>
    <row r="36" ht="15.75" customHeight="1">
      <c r="B36" s="13" t="s">
        <v>54</v>
      </c>
      <c r="E36" s="12"/>
      <c r="M36" s="2"/>
    </row>
    <row r="37" ht="15.75" customHeight="1">
      <c r="B37" s="6" t="s">
        <v>55</v>
      </c>
      <c r="E37" s="12"/>
      <c r="M37" s="2"/>
    </row>
    <row r="38" ht="15.75" customHeight="1">
      <c r="B38" s="13"/>
      <c r="E38" s="12"/>
      <c r="M38" s="2"/>
    </row>
    <row r="39" ht="15.75" customHeight="1">
      <c r="B39" s="13" t="s">
        <v>56</v>
      </c>
      <c r="E39" s="12"/>
      <c r="M39" s="2"/>
    </row>
    <row r="40" ht="15.75" customHeight="1">
      <c r="B40" s="6" t="s">
        <v>57</v>
      </c>
      <c r="M40" s="2"/>
    </row>
    <row r="41" ht="15.75" customHeight="1">
      <c r="B41" s="13"/>
      <c r="M41" s="2"/>
    </row>
    <row r="42" ht="15.75" customHeight="1">
      <c r="B42" s="13" t="s">
        <v>58</v>
      </c>
      <c r="M42" s="2"/>
    </row>
    <row r="43" ht="15.75" customHeight="1">
      <c r="B43" s="6" t="s">
        <v>59</v>
      </c>
      <c r="M43" s="2"/>
    </row>
    <row r="44" ht="15.75" customHeight="1">
      <c r="M44" s="2"/>
    </row>
    <row r="45" ht="15.75" customHeight="1">
      <c r="M45" s="2"/>
    </row>
    <row r="46" ht="15.75" customHeight="1">
      <c r="M46" s="2"/>
    </row>
    <row r="47" ht="15.75" customHeight="1">
      <c r="M47" s="2"/>
    </row>
    <row r="48" ht="15.75" customHeight="1">
      <c r="M48" s="2"/>
    </row>
    <row r="49" ht="15.75" customHeight="1">
      <c r="M49" s="2"/>
    </row>
    <row r="50" ht="15.75" customHeight="1">
      <c r="M50" s="2"/>
    </row>
    <row r="51" ht="15.75" customHeight="1">
      <c r="M51" s="2"/>
    </row>
    <row r="52" ht="15.75" customHeight="1">
      <c r="M52" s="2"/>
    </row>
    <row r="53" ht="15.75" customHeight="1">
      <c r="M53" s="2"/>
    </row>
    <row r="54" ht="15.75" customHeight="1">
      <c r="M54" s="2"/>
    </row>
    <row r="55" ht="15.75" customHeight="1">
      <c r="M55" s="2"/>
    </row>
    <row r="56" ht="15.75" customHeight="1">
      <c r="M56" s="2"/>
    </row>
    <row r="57" ht="15.75" customHeight="1">
      <c r="M57" s="2"/>
    </row>
    <row r="58" ht="15.75" customHeight="1">
      <c r="M58" s="2"/>
    </row>
    <row r="59" ht="15.75" customHeight="1">
      <c r="M59" s="2"/>
    </row>
    <row r="60" ht="15.75" customHeight="1">
      <c r="M60" s="2"/>
    </row>
    <row r="61" ht="15.75" customHeight="1">
      <c r="M61" s="2"/>
    </row>
    <row r="62" ht="15.75" customHeight="1">
      <c r="M62" s="2"/>
    </row>
    <row r="63" ht="15.75" customHeight="1">
      <c r="M63" s="2"/>
    </row>
    <row r="64" ht="15.75" customHeight="1">
      <c r="M64" s="2"/>
    </row>
    <row r="65" ht="15.75" customHeight="1">
      <c r="M65" s="2"/>
    </row>
    <row r="66" ht="15.75" customHeight="1">
      <c r="M66" s="2"/>
    </row>
    <row r="67" ht="15.75" customHeight="1">
      <c r="M67" s="2"/>
    </row>
    <row r="68" ht="15.75" customHeight="1">
      <c r="M68" s="2"/>
    </row>
    <row r="69" ht="15.75" customHeight="1">
      <c r="M69" s="2"/>
    </row>
    <row r="70" ht="15.75" customHeight="1">
      <c r="M70" s="2"/>
    </row>
    <row r="71" ht="15.75" customHeight="1">
      <c r="M71" s="2"/>
    </row>
    <row r="72" ht="15.75" customHeight="1">
      <c r="M72" s="2"/>
    </row>
    <row r="73" ht="15.75" customHeight="1">
      <c r="M73" s="2"/>
    </row>
    <row r="74" ht="15.75" customHeight="1">
      <c r="M74" s="2"/>
    </row>
    <row r="75" ht="15.75" customHeight="1">
      <c r="M75" s="2"/>
    </row>
    <row r="76" ht="15.75" customHeight="1">
      <c r="M76" s="2"/>
    </row>
    <row r="77" ht="15.75" customHeight="1">
      <c r="M77" s="2"/>
    </row>
    <row r="78" ht="15.75" customHeight="1">
      <c r="M78" s="2"/>
    </row>
    <row r="79" ht="15.75" customHeight="1">
      <c r="M79" s="2"/>
    </row>
    <row r="80" ht="15.75" customHeight="1">
      <c r="M80" s="2"/>
    </row>
    <row r="81" ht="15.75" customHeight="1">
      <c r="M81" s="2"/>
    </row>
    <row r="82" ht="15.75" customHeight="1">
      <c r="M82" s="2"/>
    </row>
    <row r="83" ht="15.75" customHeight="1">
      <c r="M83" s="2"/>
    </row>
    <row r="84" ht="15.75" customHeight="1">
      <c r="M84" s="2"/>
    </row>
    <row r="85" ht="15.75" customHeight="1">
      <c r="M85" s="2"/>
    </row>
    <row r="86" ht="15.75" customHeight="1">
      <c r="M86" s="2"/>
    </row>
    <row r="87" ht="15.75" customHeight="1">
      <c r="M87" s="2"/>
    </row>
    <row r="88" ht="15.75" customHeight="1">
      <c r="M88" s="2"/>
    </row>
    <row r="89" ht="15.75" customHeight="1">
      <c r="M89" s="2"/>
    </row>
    <row r="90" ht="15.75" customHeight="1">
      <c r="M90" s="2"/>
    </row>
    <row r="91" ht="15.75" customHeight="1">
      <c r="M91" s="2"/>
    </row>
    <row r="92" ht="15.75" customHeight="1">
      <c r="M92" s="2"/>
    </row>
    <row r="93" ht="15.75" customHeight="1">
      <c r="M93" s="2"/>
    </row>
    <row r="94" ht="15.75" customHeight="1">
      <c r="M94" s="2"/>
    </row>
    <row r="95" ht="15.75" customHeight="1">
      <c r="M95" s="2"/>
    </row>
    <row r="96" ht="15.75" customHeight="1">
      <c r="M96" s="2"/>
    </row>
    <row r="97" ht="15.75" customHeight="1">
      <c r="M97" s="2"/>
    </row>
    <row r="98" ht="15.75" customHeight="1">
      <c r="M98" s="2"/>
    </row>
    <row r="99" ht="15.75" customHeight="1">
      <c r="M99" s="2"/>
    </row>
    <row r="100" ht="15.75" customHeight="1">
      <c r="M100" s="2"/>
    </row>
    <row r="101" ht="15.75" customHeight="1">
      <c r="M101" s="2"/>
    </row>
    <row r="102" ht="15.75" customHeight="1">
      <c r="M102" s="2"/>
    </row>
    <row r="103" ht="15.75" customHeight="1">
      <c r="M103" s="2"/>
    </row>
    <row r="104" ht="15.75" customHeight="1">
      <c r="M104" s="2"/>
    </row>
    <row r="105" ht="15.75" customHeight="1">
      <c r="M105" s="2"/>
    </row>
    <row r="106" ht="15.75" customHeight="1">
      <c r="M106" s="2"/>
    </row>
    <row r="107" ht="15.75" customHeight="1">
      <c r="M107" s="2"/>
    </row>
    <row r="108" ht="15.75" customHeight="1">
      <c r="M108" s="2"/>
    </row>
    <row r="109" ht="15.75" customHeight="1">
      <c r="M109" s="2"/>
    </row>
    <row r="110" ht="15.75" customHeight="1">
      <c r="M110" s="2"/>
    </row>
    <row r="111" ht="15.75" customHeight="1">
      <c r="M111" s="2"/>
    </row>
    <row r="112" ht="15.75" customHeight="1">
      <c r="M112" s="2"/>
    </row>
    <row r="113" ht="15.75" customHeight="1">
      <c r="M113" s="2"/>
    </row>
    <row r="114" ht="15.75" customHeight="1">
      <c r="M114" s="2"/>
    </row>
    <row r="115" ht="15.75" customHeight="1">
      <c r="M115" s="2"/>
    </row>
    <row r="116" ht="15.75" customHeight="1">
      <c r="M116" s="2"/>
    </row>
    <row r="117" ht="15.75" customHeight="1">
      <c r="M117" s="2"/>
    </row>
    <row r="118" ht="15.75" customHeight="1">
      <c r="M118" s="2"/>
    </row>
    <row r="119" ht="15.75" customHeight="1">
      <c r="M119" s="2"/>
    </row>
    <row r="120" ht="15.75" customHeight="1">
      <c r="M120" s="2"/>
    </row>
    <row r="121" ht="15.75" customHeight="1">
      <c r="M121" s="2"/>
    </row>
    <row r="122" ht="15.75" customHeight="1">
      <c r="M122" s="2"/>
    </row>
    <row r="123" ht="15.75" customHeight="1">
      <c r="M123" s="2"/>
    </row>
    <row r="124" ht="15.75" customHeight="1">
      <c r="M124" s="2"/>
    </row>
    <row r="125" ht="15.75" customHeight="1">
      <c r="M125" s="2"/>
    </row>
    <row r="126" ht="15.75" customHeight="1">
      <c r="M126" s="2"/>
    </row>
    <row r="127" ht="15.75" customHeight="1">
      <c r="M127" s="2"/>
    </row>
    <row r="128" ht="15.75" customHeight="1">
      <c r="M128" s="2"/>
    </row>
    <row r="129" ht="15.75" customHeight="1">
      <c r="M129" s="2"/>
    </row>
    <row r="130" ht="15.75" customHeight="1">
      <c r="M130" s="2"/>
    </row>
    <row r="131" ht="15.75" customHeight="1">
      <c r="M131" s="2"/>
    </row>
    <row r="132" ht="15.75" customHeight="1">
      <c r="M132" s="2"/>
    </row>
    <row r="133" ht="15.75" customHeight="1">
      <c r="M133" s="2"/>
    </row>
    <row r="134" ht="15.75" customHeight="1">
      <c r="M134" s="2"/>
    </row>
    <row r="135" ht="15.75" customHeight="1">
      <c r="M135" s="2"/>
    </row>
    <row r="136" ht="15.75" customHeight="1">
      <c r="M136" s="2"/>
    </row>
    <row r="137" ht="15.75" customHeight="1">
      <c r="M137" s="2"/>
    </row>
    <row r="138" ht="15.75" customHeight="1">
      <c r="M138" s="2"/>
    </row>
    <row r="139" ht="15.75" customHeight="1">
      <c r="M139" s="2"/>
    </row>
    <row r="140" ht="15.75" customHeight="1">
      <c r="M140" s="2"/>
    </row>
    <row r="141" ht="15.75" customHeight="1">
      <c r="M141" s="2"/>
    </row>
    <row r="142" ht="15.75" customHeight="1">
      <c r="M142" s="2"/>
    </row>
    <row r="143" ht="15.75" customHeight="1">
      <c r="M143" s="2"/>
    </row>
    <row r="144" ht="15.75" customHeight="1">
      <c r="M144" s="2"/>
    </row>
    <row r="145" ht="15.75" customHeight="1">
      <c r="M145" s="2"/>
    </row>
    <row r="146" ht="15.75" customHeight="1">
      <c r="M146" s="2"/>
    </row>
    <row r="147" ht="15.75" customHeight="1">
      <c r="M147" s="2"/>
    </row>
    <row r="148" ht="15.75" customHeight="1">
      <c r="M148" s="2"/>
    </row>
    <row r="149" ht="15.75" customHeight="1">
      <c r="M149" s="2"/>
    </row>
    <row r="150" ht="15.75" customHeight="1">
      <c r="M150" s="2"/>
    </row>
    <row r="151" ht="15.75" customHeight="1">
      <c r="M151" s="2"/>
    </row>
    <row r="152" ht="15.75" customHeight="1">
      <c r="M152" s="2"/>
    </row>
    <row r="153" ht="15.75" customHeight="1">
      <c r="M153" s="2"/>
    </row>
    <row r="154" ht="15.75" customHeight="1">
      <c r="M154" s="2"/>
    </row>
    <row r="155" ht="15.75" customHeight="1">
      <c r="M155" s="2"/>
    </row>
    <row r="156" ht="15.75" customHeight="1">
      <c r="M156" s="2"/>
    </row>
    <row r="157" ht="15.75" customHeight="1">
      <c r="M157" s="2"/>
    </row>
    <row r="158" ht="15.75" customHeight="1">
      <c r="M158" s="2"/>
    </row>
    <row r="159" ht="15.75" customHeight="1">
      <c r="M159" s="2"/>
    </row>
    <row r="160" ht="15.75" customHeight="1">
      <c r="M160" s="2"/>
    </row>
    <row r="161" ht="15.75" customHeight="1">
      <c r="M161" s="2"/>
    </row>
    <row r="162" ht="15.75" customHeight="1">
      <c r="M162" s="2"/>
    </row>
    <row r="163" ht="15.75" customHeight="1">
      <c r="M163" s="2"/>
    </row>
    <row r="164" ht="15.75" customHeight="1">
      <c r="M164" s="2"/>
    </row>
    <row r="165" ht="15.75" customHeight="1">
      <c r="M165" s="2"/>
    </row>
    <row r="166" ht="15.75" customHeight="1">
      <c r="M166" s="2"/>
    </row>
    <row r="167" ht="15.75" customHeight="1">
      <c r="M167" s="2"/>
    </row>
    <row r="168" ht="15.75" customHeight="1">
      <c r="M168" s="2"/>
    </row>
    <row r="169" ht="15.75" customHeight="1">
      <c r="M169" s="2"/>
    </row>
    <row r="170" ht="15.75" customHeight="1">
      <c r="M170" s="2"/>
    </row>
    <row r="171" ht="15.75" customHeight="1">
      <c r="M171" s="2"/>
    </row>
    <row r="172" ht="15.75" customHeight="1">
      <c r="M172" s="2"/>
    </row>
    <row r="173" ht="15.75" customHeight="1">
      <c r="M173" s="2"/>
    </row>
    <row r="174" ht="15.75" customHeight="1">
      <c r="M174" s="2"/>
    </row>
    <row r="175" ht="15.75" customHeight="1">
      <c r="M175" s="2"/>
    </row>
    <row r="176" ht="15.75" customHeight="1">
      <c r="M176" s="2"/>
    </row>
    <row r="177" ht="15.75" customHeight="1">
      <c r="M177" s="2"/>
    </row>
    <row r="178" ht="15.75" customHeight="1">
      <c r="M178" s="2"/>
    </row>
    <row r="179" ht="15.75" customHeight="1">
      <c r="M179" s="2"/>
    </row>
    <row r="180" ht="15.75" customHeight="1">
      <c r="M180" s="2"/>
    </row>
    <row r="181" ht="15.75" customHeight="1">
      <c r="M181" s="2"/>
    </row>
    <row r="182" ht="15.75" customHeight="1">
      <c r="M182" s="2"/>
    </row>
    <row r="183" ht="15.75" customHeight="1">
      <c r="M183" s="2"/>
    </row>
    <row r="184" ht="15.75" customHeight="1">
      <c r="M184" s="2"/>
    </row>
    <row r="185" ht="15.75" customHeight="1">
      <c r="M185" s="2"/>
    </row>
    <row r="186" ht="15.75" customHeight="1">
      <c r="M186" s="2"/>
    </row>
    <row r="187" ht="15.75" customHeight="1">
      <c r="M187" s="2"/>
    </row>
    <row r="188" ht="15.75" customHeight="1">
      <c r="M188" s="2"/>
    </row>
    <row r="189" ht="15.75" customHeight="1">
      <c r="M189" s="2"/>
    </row>
    <row r="190" ht="15.75" customHeight="1">
      <c r="M190" s="2"/>
    </row>
    <row r="191" ht="15.75" customHeight="1">
      <c r="M191" s="2"/>
    </row>
    <row r="192" ht="15.75" customHeight="1">
      <c r="M192" s="2"/>
    </row>
    <row r="193" ht="15.75" customHeight="1">
      <c r="M193" s="2"/>
    </row>
    <row r="194" ht="15.75" customHeight="1">
      <c r="M194" s="2"/>
    </row>
    <row r="195" ht="15.75" customHeight="1">
      <c r="M195" s="2"/>
    </row>
    <row r="196" ht="15.75" customHeight="1">
      <c r="M196" s="2"/>
    </row>
    <row r="197" ht="15.75" customHeight="1">
      <c r="M197" s="2"/>
    </row>
    <row r="198" ht="15.75" customHeight="1">
      <c r="M198" s="2"/>
    </row>
    <row r="199" ht="15.75" customHeight="1">
      <c r="M199" s="2"/>
    </row>
    <row r="200" ht="15.75" customHeight="1">
      <c r="M200" s="2"/>
    </row>
    <row r="201" ht="15.75" customHeight="1">
      <c r="M201" s="2"/>
    </row>
    <row r="202" ht="15.75" customHeight="1">
      <c r="M202" s="2"/>
    </row>
    <row r="203" ht="15.75" customHeight="1">
      <c r="M203" s="2"/>
    </row>
    <row r="204" ht="15.75" customHeight="1">
      <c r="M204" s="2"/>
    </row>
    <row r="205" ht="15.75" customHeight="1">
      <c r="M205" s="2"/>
    </row>
    <row r="206" ht="15.75" customHeight="1">
      <c r="M206" s="2"/>
    </row>
    <row r="207" ht="15.75" customHeight="1">
      <c r="M207" s="2"/>
    </row>
    <row r="208" ht="15.75" customHeight="1">
      <c r="M208" s="2"/>
    </row>
    <row r="209" ht="15.75" customHeight="1">
      <c r="M209" s="2"/>
    </row>
    <row r="210" ht="15.75" customHeight="1">
      <c r="M210" s="2"/>
    </row>
    <row r="211" ht="15.75" customHeight="1">
      <c r="M211" s="2"/>
    </row>
    <row r="212" ht="15.75" customHeight="1">
      <c r="M212" s="2"/>
    </row>
    <row r="213" ht="15.75" customHeight="1">
      <c r="M213" s="2"/>
    </row>
    <row r="214" ht="15.75" customHeight="1">
      <c r="M214" s="2"/>
    </row>
    <row r="215" ht="15.75" customHeight="1">
      <c r="M215" s="2"/>
    </row>
    <row r="216" ht="15.75" customHeight="1">
      <c r="M216" s="2"/>
    </row>
    <row r="217" ht="15.75" customHeight="1">
      <c r="M217" s="2"/>
    </row>
    <row r="218" ht="15.75" customHeight="1">
      <c r="M218" s="2"/>
    </row>
    <row r="219" ht="15.75" customHeight="1">
      <c r="M219" s="2"/>
    </row>
    <row r="220" ht="15.75" customHeight="1">
      <c r="M220" s="2"/>
    </row>
    <row r="221" ht="15.75" customHeight="1">
      <c r="M221" s="2"/>
    </row>
    <row r="222" ht="15.75" customHeight="1">
      <c r="M222" s="2"/>
    </row>
    <row r="223" ht="15.75" customHeight="1">
      <c r="M223" s="2"/>
    </row>
    <row r="224" ht="15.75" customHeight="1">
      <c r="M224" s="2"/>
    </row>
    <row r="225" ht="15.75" customHeight="1">
      <c r="M225" s="2"/>
    </row>
    <row r="226" ht="15.75" customHeight="1">
      <c r="M226" s="2"/>
    </row>
    <row r="227" ht="15.75" customHeight="1">
      <c r="M227" s="2"/>
    </row>
    <row r="228" ht="15.75" customHeight="1">
      <c r="M228" s="2"/>
    </row>
    <row r="229" ht="15.75" customHeight="1">
      <c r="M229" s="2"/>
    </row>
    <row r="230" ht="15.75" customHeight="1">
      <c r="M230" s="2"/>
    </row>
    <row r="231" ht="15.75" customHeight="1">
      <c r="M231" s="2"/>
    </row>
    <row r="232" ht="15.75" customHeight="1">
      <c r="M232" s="2"/>
    </row>
    <row r="233" ht="15.75" customHeight="1">
      <c r="M233" s="2"/>
    </row>
    <row r="234" ht="15.75" customHeight="1">
      <c r="M234" s="2"/>
    </row>
    <row r="235" ht="15.75" customHeight="1">
      <c r="M235" s="2"/>
    </row>
    <row r="236" ht="15.75" customHeight="1">
      <c r="M236" s="2"/>
    </row>
    <row r="237" ht="15.75" customHeight="1">
      <c r="M237" s="2"/>
    </row>
    <row r="238" ht="15.75" customHeight="1">
      <c r="M238" s="2"/>
    </row>
    <row r="239" ht="15.75" customHeight="1">
      <c r="M239" s="2"/>
    </row>
    <row r="240" ht="15.75" customHeight="1">
      <c r="M240" s="2"/>
    </row>
    <row r="241" ht="15.75" customHeight="1">
      <c r="M241" s="2"/>
    </row>
    <row r="242" ht="15.75" customHeight="1">
      <c r="M242" s="2"/>
    </row>
    <row r="243" ht="15.75" customHeight="1">
      <c r="M243" s="2"/>
    </row>
    <row r="244" ht="15.75" customHeight="1">
      <c r="M244" s="2"/>
    </row>
    <row r="245" ht="15.75" customHeight="1">
      <c r="M245" s="2"/>
    </row>
    <row r="246" ht="15.75" customHeight="1">
      <c r="M246" s="2"/>
    </row>
    <row r="247" ht="15.75" customHeight="1">
      <c r="M247" s="2"/>
    </row>
    <row r="248" ht="15.75" customHeight="1">
      <c r="M248" s="2"/>
    </row>
    <row r="249" ht="15.75" customHeight="1">
      <c r="M249" s="2"/>
    </row>
    <row r="250" ht="15.75" customHeight="1">
      <c r="M250" s="2"/>
    </row>
    <row r="251" ht="15.75" customHeight="1">
      <c r="M251" s="2"/>
    </row>
    <row r="252" ht="15.75" customHeight="1">
      <c r="M252" s="2"/>
    </row>
    <row r="253" ht="15.75" customHeight="1">
      <c r="M253" s="2"/>
    </row>
    <row r="254" ht="15.75" customHeight="1">
      <c r="M254" s="2"/>
    </row>
    <row r="255" ht="15.75" customHeight="1">
      <c r="M255" s="2"/>
    </row>
    <row r="256" ht="15.75" customHeight="1">
      <c r="M256" s="2"/>
    </row>
    <row r="257" ht="15.75" customHeight="1">
      <c r="M257" s="2"/>
    </row>
    <row r="258" ht="15.75" customHeight="1">
      <c r="M258" s="2"/>
    </row>
    <row r="259" ht="15.75" customHeight="1">
      <c r="M259" s="2"/>
    </row>
    <row r="260" ht="15.75" customHeight="1">
      <c r="M260" s="2"/>
    </row>
    <row r="261" ht="15.75" customHeight="1">
      <c r="M261" s="2"/>
    </row>
    <row r="262" ht="15.75" customHeight="1">
      <c r="M262" s="2"/>
    </row>
    <row r="263" ht="15.75" customHeight="1">
      <c r="M263" s="2"/>
    </row>
    <row r="264" ht="15.75" customHeight="1">
      <c r="M264" s="2"/>
    </row>
    <row r="265" ht="15.75" customHeight="1">
      <c r="M265" s="2"/>
    </row>
    <row r="266" ht="15.75" customHeight="1">
      <c r="M266" s="2"/>
    </row>
    <row r="267" ht="15.75" customHeight="1">
      <c r="M267" s="2"/>
    </row>
    <row r="268" ht="15.75" customHeight="1">
      <c r="M268" s="2"/>
    </row>
    <row r="269" ht="15.75" customHeight="1">
      <c r="M269" s="2"/>
    </row>
    <row r="270" ht="15.75" customHeight="1">
      <c r="M270" s="2"/>
    </row>
    <row r="271" ht="15.75" customHeight="1">
      <c r="M271" s="2"/>
    </row>
    <row r="272" ht="15.75" customHeight="1">
      <c r="M272" s="2"/>
    </row>
    <row r="273" ht="15.75" customHeight="1">
      <c r="M273" s="2"/>
    </row>
    <row r="274" ht="15.75" customHeight="1">
      <c r="M274" s="2"/>
    </row>
    <row r="275" ht="15.75" customHeight="1">
      <c r="M275" s="2"/>
    </row>
    <row r="276" ht="15.75" customHeight="1">
      <c r="M276" s="2"/>
    </row>
    <row r="277" ht="15.75" customHeight="1">
      <c r="M277" s="2"/>
    </row>
    <row r="278" ht="15.75" customHeight="1">
      <c r="M278" s="2"/>
    </row>
    <row r="279" ht="15.75" customHeight="1">
      <c r="M279" s="2"/>
    </row>
    <row r="280" ht="15.75" customHeight="1">
      <c r="M280" s="2"/>
    </row>
    <row r="281" ht="15.75" customHeight="1">
      <c r="M281" s="2"/>
    </row>
    <row r="282" ht="15.75" customHeight="1">
      <c r="M282" s="2"/>
    </row>
    <row r="283" ht="15.75" customHeight="1">
      <c r="M283" s="2"/>
    </row>
    <row r="284" ht="15.75" customHeight="1">
      <c r="M284" s="2"/>
    </row>
    <row r="285" ht="15.75" customHeight="1">
      <c r="M285" s="2"/>
    </row>
    <row r="286" ht="15.75" customHeight="1">
      <c r="M286" s="2"/>
    </row>
    <row r="287" ht="15.75" customHeight="1">
      <c r="M287" s="2"/>
    </row>
    <row r="288" ht="15.75" customHeight="1">
      <c r="M288" s="2"/>
    </row>
    <row r="289" ht="15.75" customHeight="1">
      <c r="M289" s="2"/>
    </row>
    <row r="290" ht="15.75" customHeight="1">
      <c r="M290" s="2"/>
    </row>
    <row r="291" ht="15.75" customHeight="1">
      <c r="M291" s="2"/>
    </row>
    <row r="292" ht="15.75" customHeight="1">
      <c r="M292" s="2"/>
    </row>
    <row r="293" ht="15.75" customHeight="1">
      <c r="M293" s="2"/>
    </row>
    <row r="294" ht="15.75" customHeight="1">
      <c r="M294" s="2"/>
    </row>
    <row r="295" ht="15.75" customHeight="1">
      <c r="M295" s="2"/>
    </row>
    <row r="296" ht="15.75" customHeight="1">
      <c r="M296" s="2"/>
    </row>
    <row r="297" ht="15.75" customHeight="1">
      <c r="M297" s="2"/>
    </row>
    <row r="298" ht="15.75" customHeight="1">
      <c r="M298" s="2"/>
    </row>
    <row r="299" ht="15.75" customHeight="1">
      <c r="M299" s="2"/>
    </row>
    <row r="300" ht="15.75" customHeight="1">
      <c r="M300" s="2"/>
    </row>
    <row r="301" ht="15.75" customHeight="1">
      <c r="M301" s="2"/>
    </row>
    <row r="302" ht="15.75" customHeight="1">
      <c r="M302" s="2"/>
    </row>
    <row r="303" ht="15.75" customHeight="1">
      <c r="M303" s="2"/>
    </row>
    <row r="304" ht="15.75" customHeight="1">
      <c r="M304" s="2"/>
    </row>
    <row r="305" ht="15.75" customHeight="1">
      <c r="M305" s="2"/>
    </row>
    <row r="306" ht="15.75" customHeight="1">
      <c r="M306" s="2"/>
    </row>
    <row r="307" ht="15.75" customHeight="1">
      <c r="M307" s="2"/>
    </row>
    <row r="308" ht="15.75" customHeight="1">
      <c r="M308" s="2"/>
    </row>
    <row r="309" ht="15.75" customHeight="1">
      <c r="M309" s="2"/>
    </row>
    <row r="310" ht="15.75" customHeight="1">
      <c r="M310" s="2"/>
    </row>
    <row r="311" ht="15.75" customHeight="1">
      <c r="M311" s="2"/>
    </row>
    <row r="312" ht="15.75" customHeight="1">
      <c r="M312" s="2"/>
    </row>
    <row r="313" ht="15.75" customHeight="1">
      <c r="M313" s="2"/>
    </row>
    <row r="314" ht="15.75" customHeight="1">
      <c r="M314" s="2"/>
    </row>
    <row r="315" ht="15.75" customHeight="1">
      <c r="M315" s="2"/>
    </row>
    <row r="316" ht="15.75" customHeight="1">
      <c r="M316" s="2"/>
    </row>
    <row r="317" ht="15.75" customHeight="1">
      <c r="M317" s="2"/>
    </row>
    <row r="318" ht="15.75" customHeight="1">
      <c r="M318" s="2"/>
    </row>
    <row r="319" ht="15.75" customHeight="1">
      <c r="M319" s="2"/>
    </row>
    <row r="320" ht="15.75" customHeight="1">
      <c r="M320" s="2"/>
    </row>
    <row r="321" ht="15.75" customHeight="1">
      <c r="M321" s="2"/>
    </row>
    <row r="322" ht="15.75" customHeight="1">
      <c r="M322" s="2"/>
    </row>
    <row r="323" ht="15.75" customHeight="1">
      <c r="M323" s="2"/>
    </row>
    <row r="324" ht="15.75" customHeight="1">
      <c r="M324" s="2"/>
    </row>
    <row r="325" ht="15.75" customHeight="1">
      <c r="M325" s="2"/>
    </row>
    <row r="326" ht="15.75" customHeight="1">
      <c r="M326" s="2"/>
    </row>
    <row r="327" ht="15.75" customHeight="1">
      <c r="M327" s="2"/>
    </row>
    <row r="328" ht="15.75" customHeight="1">
      <c r="M328" s="2"/>
    </row>
    <row r="329" ht="15.75" customHeight="1">
      <c r="M329" s="2"/>
    </row>
    <row r="330" ht="15.75" customHeight="1">
      <c r="M330" s="2"/>
    </row>
    <row r="331" ht="15.75" customHeight="1">
      <c r="M331" s="2"/>
    </row>
    <row r="332" ht="15.75" customHeight="1">
      <c r="M332" s="2"/>
    </row>
    <row r="333" ht="15.75" customHeight="1">
      <c r="M333" s="2"/>
    </row>
    <row r="334" ht="15.75" customHeight="1">
      <c r="M334" s="2"/>
    </row>
    <row r="335" ht="15.75" customHeight="1">
      <c r="M335" s="2"/>
    </row>
    <row r="336" ht="15.75" customHeight="1">
      <c r="M336" s="2"/>
    </row>
    <row r="337" ht="15.75" customHeight="1">
      <c r="M337" s="2"/>
    </row>
    <row r="338" ht="15.75" customHeight="1">
      <c r="M338" s="2"/>
    </row>
    <row r="339" ht="15.75" customHeight="1">
      <c r="M339" s="2"/>
    </row>
    <row r="340" ht="15.75" customHeight="1">
      <c r="M340" s="2"/>
    </row>
    <row r="341" ht="15.75" customHeight="1">
      <c r="M341" s="2"/>
    </row>
    <row r="342" ht="15.75" customHeight="1">
      <c r="M342" s="2"/>
    </row>
    <row r="343" ht="15.75" customHeight="1">
      <c r="M343" s="2"/>
    </row>
    <row r="344" ht="15.75" customHeight="1">
      <c r="M344" s="2"/>
    </row>
    <row r="345" ht="15.75" customHeight="1">
      <c r="M345" s="2"/>
    </row>
    <row r="346" ht="15.75" customHeight="1">
      <c r="M346" s="2"/>
    </row>
    <row r="347" ht="15.75" customHeight="1">
      <c r="M347" s="2"/>
    </row>
    <row r="348" ht="15.75" customHeight="1">
      <c r="M348" s="2"/>
    </row>
    <row r="349" ht="15.75" customHeight="1">
      <c r="M349" s="2"/>
    </row>
    <row r="350" ht="15.75" customHeight="1">
      <c r="M350" s="2"/>
    </row>
    <row r="351" ht="15.75" customHeight="1">
      <c r="M351" s="2"/>
    </row>
    <row r="352" ht="15.75" customHeight="1">
      <c r="M352" s="2"/>
    </row>
    <row r="353" ht="15.75" customHeight="1">
      <c r="M353" s="2"/>
    </row>
    <row r="354" ht="15.75" customHeight="1">
      <c r="M354" s="2"/>
    </row>
    <row r="355" ht="15.75" customHeight="1">
      <c r="M355" s="2"/>
    </row>
    <row r="356" ht="15.75" customHeight="1">
      <c r="M356" s="2"/>
    </row>
    <row r="357" ht="15.75" customHeight="1">
      <c r="M357" s="2"/>
    </row>
    <row r="358" ht="15.75" customHeight="1">
      <c r="M358" s="2"/>
    </row>
    <row r="359" ht="15.75" customHeight="1">
      <c r="M359" s="2"/>
    </row>
    <row r="360" ht="15.75" customHeight="1">
      <c r="M360" s="2"/>
    </row>
    <row r="361" ht="15.75" customHeight="1">
      <c r="M361" s="2"/>
    </row>
    <row r="362" ht="15.75" customHeight="1">
      <c r="M362" s="2"/>
    </row>
    <row r="363" ht="15.75" customHeight="1">
      <c r="M363" s="2"/>
    </row>
    <row r="364" ht="15.75" customHeight="1">
      <c r="M364" s="2"/>
    </row>
    <row r="365" ht="15.75" customHeight="1">
      <c r="M365" s="2"/>
    </row>
    <row r="366" ht="15.75" customHeight="1">
      <c r="M366" s="2"/>
    </row>
    <row r="367" ht="15.75" customHeight="1">
      <c r="M367" s="2"/>
    </row>
    <row r="368" ht="15.75" customHeight="1">
      <c r="M368" s="2"/>
    </row>
    <row r="369" ht="15.75" customHeight="1">
      <c r="M369" s="2"/>
    </row>
    <row r="370" ht="15.75" customHeight="1">
      <c r="M370" s="2"/>
    </row>
    <row r="371" ht="15.75" customHeight="1">
      <c r="M371" s="2"/>
    </row>
    <row r="372" ht="15.75" customHeight="1">
      <c r="M372" s="2"/>
    </row>
    <row r="373" ht="15.75" customHeight="1">
      <c r="M373" s="2"/>
    </row>
    <row r="374" ht="15.75" customHeight="1">
      <c r="M374" s="2"/>
    </row>
    <row r="375" ht="15.75" customHeight="1">
      <c r="M375" s="2"/>
    </row>
    <row r="376" ht="15.75" customHeight="1">
      <c r="M376" s="2"/>
    </row>
    <row r="377" ht="15.75" customHeight="1">
      <c r="M377" s="2"/>
    </row>
    <row r="378" ht="15.75" customHeight="1">
      <c r="M378" s="2"/>
    </row>
    <row r="379" ht="15.75" customHeight="1">
      <c r="M379" s="2"/>
    </row>
    <row r="380" ht="15.75" customHeight="1">
      <c r="M380" s="2"/>
    </row>
    <row r="381" ht="15.75" customHeight="1">
      <c r="M381" s="2"/>
    </row>
    <row r="382" ht="15.75" customHeight="1">
      <c r="M382" s="2"/>
    </row>
    <row r="383" ht="15.75" customHeight="1">
      <c r="M383" s="2"/>
    </row>
    <row r="384" ht="15.75" customHeight="1">
      <c r="M384" s="2"/>
    </row>
    <row r="385" ht="15.75" customHeight="1">
      <c r="M385" s="2"/>
    </row>
    <row r="386" ht="15.75" customHeight="1">
      <c r="M386" s="2"/>
    </row>
    <row r="387" ht="15.75" customHeight="1">
      <c r="M387" s="2"/>
    </row>
    <row r="388" ht="15.75" customHeight="1">
      <c r="M388" s="2"/>
    </row>
    <row r="389" ht="15.75" customHeight="1">
      <c r="M389" s="2"/>
    </row>
    <row r="390" ht="15.75" customHeight="1">
      <c r="M390" s="2"/>
    </row>
    <row r="391" ht="15.75" customHeight="1">
      <c r="M391" s="2"/>
    </row>
    <row r="392" ht="15.75" customHeight="1">
      <c r="M392" s="2"/>
    </row>
    <row r="393" ht="15.75" customHeight="1">
      <c r="M393" s="2"/>
    </row>
    <row r="394" ht="15.75" customHeight="1">
      <c r="M394" s="2"/>
    </row>
    <row r="395" ht="15.75" customHeight="1">
      <c r="M395" s="2"/>
    </row>
    <row r="396" ht="15.75" customHeight="1">
      <c r="M396" s="2"/>
    </row>
    <row r="397" ht="15.75" customHeight="1">
      <c r="M397" s="2"/>
    </row>
    <row r="398" ht="15.75" customHeight="1">
      <c r="M398" s="2"/>
    </row>
    <row r="399" ht="15.75" customHeight="1">
      <c r="M399" s="2"/>
    </row>
    <row r="400" ht="15.75" customHeight="1">
      <c r="M400" s="2"/>
    </row>
    <row r="401" ht="15.75" customHeight="1">
      <c r="M401" s="2"/>
    </row>
    <row r="402" ht="15.75" customHeight="1">
      <c r="M402" s="2"/>
    </row>
    <row r="403" ht="15.75" customHeight="1">
      <c r="M403" s="2"/>
    </row>
    <row r="404" ht="15.75" customHeight="1">
      <c r="M404" s="2"/>
    </row>
    <row r="405" ht="15.75" customHeight="1">
      <c r="M405" s="2"/>
    </row>
    <row r="406" ht="15.75" customHeight="1">
      <c r="M406" s="2"/>
    </row>
    <row r="407" ht="15.75" customHeight="1">
      <c r="M407" s="2"/>
    </row>
    <row r="408" ht="15.75" customHeight="1">
      <c r="M408" s="2"/>
    </row>
    <row r="409" ht="15.75" customHeight="1">
      <c r="M409" s="2"/>
    </row>
    <row r="410" ht="15.75" customHeight="1">
      <c r="M410" s="2"/>
    </row>
    <row r="411" ht="15.75" customHeight="1">
      <c r="M411" s="2"/>
    </row>
    <row r="412" ht="15.75" customHeight="1">
      <c r="M412" s="2"/>
    </row>
    <row r="413" ht="15.75" customHeight="1">
      <c r="M413" s="2"/>
    </row>
    <row r="414" ht="15.75" customHeight="1">
      <c r="M414" s="2"/>
    </row>
    <row r="415" ht="15.75" customHeight="1">
      <c r="M415" s="2"/>
    </row>
    <row r="416" ht="15.75" customHeight="1">
      <c r="M416" s="2"/>
    </row>
    <row r="417" ht="15.75" customHeight="1">
      <c r="M417" s="2"/>
    </row>
    <row r="418" ht="15.75" customHeight="1">
      <c r="M418" s="2"/>
    </row>
    <row r="419" ht="15.75" customHeight="1">
      <c r="M419" s="2"/>
    </row>
    <row r="420" ht="15.75" customHeight="1">
      <c r="M420" s="2"/>
    </row>
    <row r="421" ht="15.75" customHeight="1">
      <c r="M421" s="2"/>
    </row>
    <row r="422" ht="15.75" customHeight="1">
      <c r="M422" s="2"/>
    </row>
    <row r="423" ht="15.75" customHeight="1">
      <c r="M423" s="2"/>
    </row>
    <row r="424" ht="15.75" customHeight="1">
      <c r="M424" s="2"/>
    </row>
    <row r="425" ht="15.75" customHeight="1">
      <c r="M425" s="2"/>
    </row>
    <row r="426" ht="15.75" customHeight="1">
      <c r="M426" s="2"/>
    </row>
    <row r="427" ht="15.75" customHeight="1">
      <c r="M427" s="2"/>
    </row>
    <row r="428" ht="15.75" customHeight="1">
      <c r="M428" s="2"/>
    </row>
    <row r="429" ht="15.75" customHeight="1">
      <c r="M429" s="2"/>
    </row>
    <row r="430" ht="15.75" customHeight="1">
      <c r="M430" s="2"/>
    </row>
    <row r="431" ht="15.75" customHeight="1">
      <c r="M431" s="2"/>
    </row>
    <row r="432" ht="15.75" customHeight="1">
      <c r="M432" s="2"/>
    </row>
    <row r="433" ht="15.75" customHeight="1">
      <c r="M433" s="2"/>
    </row>
    <row r="434" ht="15.75" customHeight="1">
      <c r="M434" s="2"/>
    </row>
    <row r="435" ht="15.75" customHeight="1">
      <c r="M435" s="2"/>
    </row>
    <row r="436" ht="15.75" customHeight="1">
      <c r="M436" s="2"/>
    </row>
    <row r="437" ht="15.75" customHeight="1">
      <c r="M437" s="2"/>
    </row>
    <row r="438" ht="15.75" customHeight="1">
      <c r="M438" s="2"/>
    </row>
    <row r="439" ht="15.75" customHeight="1">
      <c r="M439" s="2"/>
    </row>
    <row r="440" ht="15.75" customHeight="1">
      <c r="M440" s="2"/>
    </row>
    <row r="441" ht="15.75" customHeight="1">
      <c r="M441" s="2"/>
    </row>
    <row r="442" ht="15.75" customHeight="1">
      <c r="M442" s="2"/>
    </row>
    <row r="443" ht="15.75" customHeight="1">
      <c r="M443" s="2"/>
    </row>
    <row r="444" ht="15.75" customHeight="1">
      <c r="M444" s="2"/>
    </row>
    <row r="445" ht="15.75" customHeight="1">
      <c r="M445" s="2"/>
    </row>
    <row r="446" ht="15.75" customHeight="1">
      <c r="M446" s="2"/>
    </row>
    <row r="447" ht="15.75" customHeight="1">
      <c r="M447" s="2"/>
    </row>
    <row r="448" ht="15.75" customHeight="1">
      <c r="M448" s="2"/>
    </row>
    <row r="449" ht="15.75" customHeight="1">
      <c r="M449" s="2"/>
    </row>
    <row r="450" ht="15.75" customHeight="1">
      <c r="M450" s="2"/>
    </row>
    <row r="451" ht="15.75" customHeight="1">
      <c r="M451" s="2"/>
    </row>
    <row r="452" ht="15.75" customHeight="1">
      <c r="M452" s="2"/>
    </row>
    <row r="453" ht="15.75" customHeight="1">
      <c r="M453" s="2"/>
    </row>
    <row r="454" ht="15.75" customHeight="1">
      <c r="M454" s="2"/>
    </row>
    <row r="455" ht="15.75" customHeight="1">
      <c r="M455" s="2"/>
    </row>
    <row r="456" ht="15.75" customHeight="1">
      <c r="M456" s="2"/>
    </row>
    <row r="457" ht="15.75" customHeight="1">
      <c r="M457" s="2"/>
    </row>
    <row r="458" ht="15.75" customHeight="1">
      <c r="M458" s="2"/>
    </row>
    <row r="459" ht="15.75" customHeight="1">
      <c r="M459" s="2"/>
    </row>
    <row r="460" ht="15.75" customHeight="1">
      <c r="M460" s="2"/>
    </row>
    <row r="461" ht="15.75" customHeight="1">
      <c r="M461" s="2"/>
    </row>
    <row r="462" ht="15.75" customHeight="1">
      <c r="M462" s="2"/>
    </row>
    <row r="463" ht="15.75" customHeight="1">
      <c r="M463" s="2"/>
    </row>
    <row r="464" ht="15.75" customHeight="1">
      <c r="M464" s="2"/>
    </row>
    <row r="465" ht="15.75" customHeight="1">
      <c r="M465" s="2"/>
    </row>
    <row r="466" ht="15.75" customHeight="1">
      <c r="M466" s="2"/>
    </row>
    <row r="467" ht="15.75" customHeight="1">
      <c r="M467" s="2"/>
    </row>
    <row r="468" ht="15.75" customHeight="1">
      <c r="M468" s="2"/>
    </row>
    <row r="469" ht="15.75" customHeight="1">
      <c r="M469" s="2"/>
    </row>
    <row r="470" ht="15.75" customHeight="1">
      <c r="M470" s="2"/>
    </row>
    <row r="471" ht="15.75" customHeight="1">
      <c r="M471" s="2"/>
    </row>
    <row r="472" ht="15.75" customHeight="1">
      <c r="M472" s="2"/>
    </row>
    <row r="473" ht="15.75" customHeight="1">
      <c r="M473" s="2"/>
    </row>
    <row r="474" ht="15.75" customHeight="1">
      <c r="M474" s="2"/>
    </row>
    <row r="475" ht="15.75" customHeight="1">
      <c r="M475" s="2"/>
    </row>
    <row r="476" ht="15.75" customHeight="1">
      <c r="M476" s="2"/>
    </row>
    <row r="477" ht="15.75" customHeight="1">
      <c r="M477" s="2"/>
    </row>
    <row r="478" ht="15.75" customHeight="1">
      <c r="M478" s="2"/>
    </row>
    <row r="479" ht="15.75" customHeight="1">
      <c r="M479" s="2"/>
    </row>
    <row r="480" ht="15.75" customHeight="1">
      <c r="M480" s="2"/>
    </row>
    <row r="481" ht="15.75" customHeight="1">
      <c r="M481" s="2"/>
    </row>
    <row r="482" ht="15.75" customHeight="1">
      <c r="M482" s="2"/>
    </row>
    <row r="483" ht="15.75" customHeight="1">
      <c r="M483" s="2"/>
    </row>
    <row r="484" ht="15.75" customHeight="1">
      <c r="M484" s="2"/>
    </row>
    <row r="485" ht="15.75" customHeight="1">
      <c r="M485" s="2"/>
    </row>
    <row r="486" ht="15.75" customHeight="1">
      <c r="M486" s="2"/>
    </row>
    <row r="487" ht="15.75" customHeight="1">
      <c r="M487" s="2"/>
    </row>
    <row r="488" ht="15.75" customHeight="1">
      <c r="M488" s="2"/>
    </row>
    <row r="489" ht="15.75" customHeight="1">
      <c r="M489" s="2"/>
    </row>
    <row r="490" ht="15.75" customHeight="1">
      <c r="M490" s="2"/>
    </row>
    <row r="491" ht="15.75" customHeight="1">
      <c r="M491" s="2"/>
    </row>
    <row r="492" ht="15.75" customHeight="1">
      <c r="M492" s="2"/>
    </row>
    <row r="493" ht="15.75" customHeight="1">
      <c r="M493" s="2"/>
    </row>
    <row r="494" ht="15.75" customHeight="1">
      <c r="M494" s="2"/>
    </row>
    <row r="495" ht="15.75" customHeight="1">
      <c r="M495" s="2"/>
    </row>
    <row r="496" ht="15.75" customHeight="1">
      <c r="M496" s="2"/>
    </row>
    <row r="497" ht="15.75" customHeight="1">
      <c r="M497" s="2"/>
    </row>
    <row r="498" ht="15.75" customHeight="1">
      <c r="M498" s="2"/>
    </row>
    <row r="499" ht="15.75" customHeight="1">
      <c r="M499" s="2"/>
    </row>
    <row r="500" ht="15.75" customHeight="1">
      <c r="M500" s="2"/>
    </row>
    <row r="501" ht="15.75" customHeight="1">
      <c r="M501" s="2"/>
    </row>
    <row r="502" ht="15.75" customHeight="1">
      <c r="M502" s="2"/>
    </row>
    <row r="503" ht="15.75" customHeight="1">
      <c r="M503" s="2"/>
    </row>
    <row r="504" ht="15.75" customHeight="1">
      <c r="M504" s="2"/>
    </row>
    <row r="505" ht="15.75" customHeight="1">
      <c r="M505" s="2"/>
    </row>
    <row r="506" ht="15.75" customHeight="1">
      <c r="M506" s="2"/>
    </row>
    <row r="507" ht="15.75" customHeight="1">
      <c r="M507" s="2"/>
    </row>
    <row r="508" ht="15.75" customHeight="1">
      <c r="M508" s="2"/>
    </row>
    <row r="509" ht="15.75" customHeight="1">
      <c r="M509" s="2"/>
    </row>
    <row r="510" ht="15.75" customHeight="1">
      <c r="M510" s="2"/>
    </row>
    <row r="511" ht="15.75" customHeight="1">
      <c r="M511" s="2"/>
    </row>
    <row r="512" ht="15.75" customHeight="1">
      <c r="M512" s="2"/>
    </row>
    <row r="513" ht="15.75" customHeight="1">
      <c r="M513" s="2"/>
    </row>
    <row r="514" ht="15.75" customHeight="1">
      <c r="M514" s="2"/>
    </row>
    <row r="515" ht="15.75" customHeight="1">
      <c r="M515" s="2"/>
    </row>
    <row r="516" ht="15.75" customHeight="1">
      <c r="M516" s="2"/>
    </row>
    <row r="517" ht="15.75" customHeight="1">
      <c r="M517" s="2"/>
    </row>
    <row r="518" ht="15.75" customHeight="1">
      <c r="M518" s="2"/>
    </row>
    <row r="519" ht="15.75" customHeight="1">
      <c r="M519" s="2"/>
    </row>
    <row r="520" ht="15.75" customHeight="1">
      <c r="M520" s="2"/>
    </row>
    <row r="521" ht="15.75" customHeight="1">
      <c r="M521" s="2"/>
    </row>
    <row r="522" ht="15.75" customHeight="1">
      <c r="M522" s="2"/>
    </row>
    <row r="523" ht="15.75" customHeight="1">
      <c r="M523" s="2"/>
    </row>
    <row r="524" ht="15.75" customHeight="1">
      <c r="M524" s="2"/>
    </row>
    <row r="525" ht="15.75" customHeight="1">
      <c r="M525" s="2"/>
    </row>
    <row r="526" ht="15.75" customHeight="1">
      <c r="M526" s="2"/>
    </row>
    <row r="527" ht="15.75" customHeight="1">
      <c r="M527" s="2"/>
    </row>
    <row r="528" ht="15.75" customHeight="1">
      <c r="M528" s="2"/>
    </row>
    <row r="529" ht="15.75" customHeight="1">
      <c r="M529" s="2"/>
    </row>
    <row r="530" ht="15.75" customHeight="1">
      <c r="M530" s="2"/>
    </row>
    <row r="531" ht="15.75" customHeight="1">
      <c r="M531" s="2"/>
    </row>
    <row r="532" ht="15.75" customHeight="1">
      <c r="M532" s="2"/>
    </row>
    <row r="533" ht="15.75" customHeight="1">
      <c r="M533" s="2"/>
    </row>
    <row r="534" ht="15.75" customHeight="1">
      <c r="M534" s="2"/>
    </row>
    <row r="535" ht="15.75" customHeight="1">
      <c r="M535" s="2"/>
    </row>
    <row r="536" ht="15.75" customHeight="1">
      <c r="M536" s="2"/>
    </row>
    <row r="537" ht="15.75" customHeight="1">
      <c r="M537" s="2"/>
    </row>
    <row r="538" ht="15.75" customHeight="1">
      <c r="M538" s="2"/>
    </row>
    <row r="539" ht="15.75" customHeight="1">
      <c r="M539" s="2"/>
    </row>
    <row r="540" ht="15.75" customHeight="1">
      <c r="M540" s="2"/>
    </row>
    <row r="541" ht="15.75" customHeight="1">
      <c r="M541" s="2"/>
    </row>
    <row r="542" ht="15.75" customHeight="1">
      <c r="M542" s="2"/>
    </row>
    <row r="543" ht="15.75" customHeight="1">
      <c r="M543" s="2"/>
    </row>
    <row r="544" ht="15.75" customHeight="1">
      <c r="M544" s="2"/>
    </row>
    <row r="545" ht="15.75" customHeight="1">
      <c r="M545" s="2"/>
    </row>
    <row r="546" ht="15.75" customHeight="1">
      <c r="M546" s="2"/>
    </row>
    <row r="547" ht="15.75" customHeight="1">
      <c r="M547" s="2"/>
    </row>
    <row r="548" ht="15.75" customHeight="1">
      <c r="M548" s="2"/>
    </row>
    <row r="549" ht="15.75" customHeight="1">
      <c r="M549" s="2"/>
    </row>
    <row r="550" ht="15.75" customHeight="1">
      <c r="M550" s="2"/>
    </row>
    <row r="551" ht="15.75" customHeight="1">
      <c r="M551" s="2"/>
    </row>
    <row r="552" ht="15.75" customHeight="1">
      <c r="M552" s="2"/>
    </row>
    <row r="553" ht="15.75" customHeight="1">
      <c r="M553" s="2"/>
    </row>
    <row r="554" ht="15.75" customHeight="1">
      <c r="M554" s="2"/>
    </row>
    <row r="555" ht="15.75" customHeight="1">
      <c r="M555" s="2"/>
    </row>
    <row r="556" ht="15.75" customHeight="1">
      <c r="M556" s="2"/>
    </row>
    <row r="557" ht="15.75" customHeight="1">
      <c r="M557" s="2"/>
    </row>
    <row r="558" ht="15.75" customHeight="1">
      <c r="M558" s="2"/>
    </row>
    <row r="559" ht="15.75" customHeight="1">
      <c r="M559" s="2"/>
    </row>
    <row r="560" ht="15.75" customHeight="1">
      <c r="M560" s="2"/>
    </row>
    <row r="561" ht="15.75" customHeight="1">
      <c r="M561" s="2"/>
    </row>
    <row r="562" ht="15.75" customHeight="1">
      <c r="M562" s="2"/>
    </row>
    <row r="563" ht="15.75" customHeight="1">
      <c r="M563" s="2"/>
    </row>
    <row r="564" ht="15.75" customHeight="1">
      <c r="M564" s="2"/>
    </row>
    <row r="565" ht="15.75" customHeight="1">
      <c r="M565" s="2"/>
    </row>
    <row r="566" ht="15.75" customHeight="1">
      <c r="M566" s="2"/>
    </row>
    <row r="567" ht="15.75" customHeight="1">
      <c r="M567" s="2"/>
    </row>
    <row r="568" ht="15.75" customHeight="1">
      <c r="M568" s="2"/>
    </row>
    <row r="569" ht="15.75" customHeight="1">
      <c r="M569" s="2"/>
    </row>
    <row r="570" ht="15.75" customHeight="1">
      <c r="M570" s="2"/>
    </row>
    <row r="571" ht="15.75" customHeight="1">
      <c r="M571" s="2"/>
    </row>
    <row r="572" ht="15.75" customHeight="1">
      <c r="M572" s="2"/>
    </row>
    <row r="573" ht="15.75" customHeight="1">
      <c r="M573" s="2"/>
    </row>
    <row r="574" ht="15.75" customHeight="1">
      <c r="M574" s="2"/>
    </row>
    <row r="575" ht="15.75" customHeight="1">
      <c r="M575" s="2"/>
    </row>
    <row r="576" ht="15.75" customHeight="1">
      <c r="M576" s="2"/>
    </row>
    <row r="577" ht="15.75" customHeight="1">
      <c r="M577" s="2"/>
    </row>
    <row r="578" ht="15.75" customHeight="1">
      <c r="M578" s="2"/>
    </row>
    <row r="579" ht="15.75" customHeight="1">
      <c r="M579" s="2"/>
    </row>
    <row r="580" ht="15.75" customHeight="1">
      <c r="M580" s="2"/>
    </row>
    <row r="581" ht="15.75" customHeight="1">
      <c r="M581" s="2"/>
    </row>
    <row r="582" ht="15.75" customHeight="1">
      <c r="M582" s="2"/>
    </row>
    <row r="583" ht="15.75" customHeight="1">
      <c r="M583" s="2"/>
    </row>
    <row r="584" ht="15.75" customHeight="1">
      <c r="M584" s="2"/>
    </row>
    <row r="585" ht="15.75" customHeight="1">
      <c r="M585" s="2"/>
    </row>
    <row r="586" ht="15.75" customHeight="1">
      <c r="M586" s="2"/>
    </row>
    <row r="587" ht="15.75" customHeight="1">
      <c r="M587" s="2"/>
    </row>
    <row r="588" ht="15.75" customHeight="1">
      <c r="M588" s="2"/>
    </row>
    <row r="589" ht="15.75" customHeight="1">
      <c r="M589" s="2"/>
    </row>
    <row r="590" ht="15.75" customHeight="1">
      <c r="M590" s="2"/>
    </row>
    <row r="591" ht="15.75" customHeight="1">
      <c r="M591" s="2"/>
    </row>
    <row r="592" ht="15.75" customHeight="1">
      <c r="M592" s="2"/>
    </row>
    <row r="593" ht="15.75" customHeight="1">
      <c r="M593" s="2"/>
    </row>
    <row r="594" ht="15.75" customHeight="1">
      <c r="M594" s="2"/>
    </row>
    <row r="595" ht="15.75" customHeight="1">
      <c r="M595" s="2"/>
    </row>
    <row r="596" ht="15.75" customHeight="1">
      <c r="M596" s="2"/>
    </row>
    <row r="597" ht="15.75" customHeight="1">
      <c r="M597" s="2"/>
    </row>
    <row r="598" ht="15.75" customHeight="1">
      <c r="M598" s="2"/>
    </row>
    <row r="599" ht="15.75" customHeight="1">
      <c r="M599" s="2"/>
    </row>
    <row r="600" ht="15.75" customHeight="1">
      <c r="M600" s="2"/>
    </row>
    <row r="601" ht="15.75" customHeight="1">
      <c r="M601" s="2"/>
    </row>
    <row r="602" ht="15.75" customHeight="1">
      <c r="M602" s="2"/>
    </row>
    <row r="603" ht="15.75" customHeight="1">
      <c r="M603" s="2"/>
    </row>
    <row r="604" ht="15.75" customHeight="1">
      <c r="M604" s="2"/>
    </row>
    <row r="605" ht="15.75" customHeight="1">
      <c r="M605" s="2"/>
    </row>
    <row r="606" ht="15.75" customHeight="1">
      <c r="M606" s="2"/>
    </row>
    <row r="607" ht="15.75" customHeight="1">
      <c r="M607" s="2"/>
    </row>
    <row r="608" ht="15.75" customHeight="1">
      <c r="M608" s="2"/>
    </row>
    <row r="609" ht="15.75" customHeight="1">
      <c r="M609" s="2"/>
    </row>
    <row r="610" ht="15.75" customHeight="1">
      <c r="M610" s="2"/>
    </row>
    <row r="611" ht="15.75" customHeight="1">
      <c r="M611" s="2"/>
    </row>
    <row r="612" ht="15.75" customHeight="1">
      <c r="M612" s="2"/>
    </row>
    <row r="613" ht="15.75" customHeight="1">
      <c r="M613" s="2"/>
    </row>
    <row r="614" ht="15.75" customHeight="1">
      <c r="M614" s="2"/>
    </row>
    <row r="615" ht="15.75" customHeight="1">
      <c r="M615" s="2"/>
    </row>
    <row r="616" ht="15.75" customHeight="1">
      <c r="M616" s="2"/>
    </row>
    <row r="617" ht="15.75" customHeight="1">
      <c r="M617" s="2"/>
    </row>
    <row r="618" ht="15.75" customHeight="1">
      <c r="M618" s="2"/>
    </row>
    <row r="619" ht="15.75" customHeight="1">
      <c r="M619" s="2"/>
    </row>
    <row r="620" ht="15.75" customHeight="1">
      <c r="M620" s="2"/>
    </row>
    <row r="621" ht="15.75" customHeight="1">
      <c r="M621" s="2"/>
    </row>
    <row r="622" ht="15.75" customHeight="1">
      <c r="M622" s="2"/>
    </row>
    <row r="623" ht="15.75" customHeight="1">
      <c r="M623" s="2"/>
    </row>
    <row r="624" ht="15.75" customHeight="1">
      <c r="M624" s="2"/>
    </row>
    <row r="625" ht="15.75" customHeight="1">
      <c r="M625" s="2"/>
    </row>
    <row r="626" ht="15.75" customHeight="1">
      <c r="M626" s="2"/>
    </row>
    <row r="627" ht="15.75" customHeight="1">
      <c r="M627" s="2"/>
    </row>
    <row r="628" ht="15.75" customHeight="1">
      <c r="M628" s="2"/>
    </row>
    <row r="629" ht="15.75" customHeight="1">
      <c r="M629" s="2"/>
    </row>
    <row r="630" ht="15.75" customHeight="1">
      <c r="M630" s="2"/>
    </row>
    <row r="631" ht="15.75" customHeight="1">
      <c r="M631" s="2"/>
    </row>
    <row r="632" ht="15.75" customHeight="1">
      <c r="M632" s="2"/>
    </row>
    <row r="633" ht="15.75" customHeight="1">
      <c r="M633" s="2"/>
    </row>
    <row r="634" ht="15.75" customHeight="1">
      <c r="M634" s="2"/>
    </row>
    <row r="635" ht="15.75" customHeight="1">
      <c r="M635" s="2"/>
    </row>
    <row r="636" ht="15.75" customHeight="1">
      <c r="M636" s="2"/>
    </row>
    <row r="637" ht="15.75" customHeight="1">
      <c r="M637" s="2"/>
    </row>
    <row r="638" ht="15.75" customHeight="1">
      <c r="M638" s="2"/>
    </row>
    <row r="639" ht="15.75" customHeight="1">
      <c r="M639" s="2"/>
    </row>
    <row r="640" ht="15.75" customHeight="1">
      <c r="M640" s="2"/>
    </row>
    <row r="641" ht="15.75" customHeight="1">
      <c r="M641" s="2"/>
    </row>
    <row r="642" ht="15.75" customHeight="1">
      <c r="M642" s="2"/>
    </row>
    <row r="643" ht="15.75" customHeight="1">
      <c r="M643" s="2"/>
    </row>
    <row r="644" ht="15.75" customHeight="1">
      <c r="M644" s="2"/>
    </row>
    <row r="645" ht="15.75" customHeight="1">
      <c r="M645" s="2"/>
    </row>
    <row r="646" ht="15.75" customHeight="1">
      <c r="M646" s="2"/>
    </row>
    <row r="647" ht="15.75" customHeight="1">
      <c r="M647" s="2"/>
    </row>
    <row r="648" ht="15.75" customHeight="1">
      <c r="M648" s="2"/>
    </row>
    <row r="649" ht="15.75" customHeight="1">
      <c r="M649" s="2"/>
    </row>
    <row r="650" ht="15.75" customHeight="1">
      <c r="M650" s="2"/>
    </row>
    <row r="651" ht="15.75" customHeight="1">
      <c r="M651" s="2"/>
    </row>
    <row r="652" ht="15.75" customHeight="1">
      <c r="M652" s="2"/>
    </row>
    <row r="653" ht="15.75" customHeight="1">
      <c r="M653" s="2"/>
    </row>
    <row r="654" ht="15.75" customHeight="1">
      <c r="M654" s="2"/>
    </row>
    <row r="655" ht="15.75" customHeight="1">
      <c r="M655" s="2"/>
    </row>
    <row r="656" ht="15.75" customHeight="1">
      <c r="M656" s="2"/>
    </row>
    <row r="657" ht="15.75" customHeight="1">
      <c r="M657" s="2"/>
    </row>
    <row r="658" ht="15.75" customHeight="1">
      <c r="M658" s="2"/>
    </row>
    <row r="659" ht="15.75" customHeight="1">
      <c r="M659" s="2"/>
    </row>
    <row r="660" ht="15.75" customHeight="1">
      <c r="M660" s="2"/>
    </row>
    <row r="661" ht="15.75" customHeight="1">
      <c r="M661" s="2"/>
    </row>
    <row r="662" ht="15.75" customHeight="1">
      <c r="M662" s="2"/>
    </row>
    <row r="663" ht="15.75" customHeight="1">
      <c r="M663" s="2"/>
    </row>
    <row r="664" ht="15.75" customHeight="1">
      <c r="M664" s="2"/>
    </row>
    <row r="665" ht="15.75" customHeight="1">
      <c r="M665" s="2"/>
    </row>
    <row r="666" ht="15.75" customHeight="1">
      <c r="M666" s="2"/>
    </row>
    <row r="667" ht="15.75" customHeight="1">
      <c r="M667" s="2"/>
    </row>
    <row r="668" ht="15.75" customHeight="1">
      <c r="M668" s="2"/>
    </row>
    <row r="669" ht="15.75" customHeight="1">
      <c r="M669" s="2"/>
    </row>
    <row r="670" ht="15.75" customHeight="1">
      <c r="M670" s="2"/>
    </row>
    <row r="671" ht="15.75" customHeight="1">
      <c r="M671" s="2"/>
    </row>
    <row r="672" ht="15.75" customHeight="1">
      <c r="M672" s="2"/>
    </row>
    <row r="673" ht="15.75" customHeight="1">
      <c r="M673" s="2"/>
    </row>
    <row r="674" ht="15.75" customHeight="1">
      <c r="M674" s="2"/>
    </row>
    <row r="675" ht="15.75" customHeight="1">
      <c r="M675" s="2"/>
    </row>
    <row r="676" ht="15.75" customHeight="1">
      <c r="M676" s="2"/>
    </row>
    <row r="677" ht="15.75" customHeight="1">
      <c r="M677" s="2"/>
    </row>
    <row r="678" ht="15.75" customHeight="1">
      <c r="M678" s="2"/>
    </row>
    <row r="679" ht="15.75" customHeight="1">
      <c r="M679" s="2"/>
    </row>
    <row r="680" ht="15.75" customHeight="1">
      <c r="M680" s="2"/>
    </row>
    <row r="681" ht="15.75" customHeight="1">
      <c r="M681" s="2"/>
    </row>
    <row r="682" ht="15.75" customHeight="1">
      <c r="M682" s="2"/>
    </row>
    <row r="683" ht="15.75" customHeight="1">
      <c r="M683" s="2"/>
    </row>
    <row r="684" ht="15.75" customHeight="1">
      <c r="M684" s="2"/>
    </row>
    <row r="685" ht="15.75" customHeight="1">
      <c r="M685" s="2"/>
    </row>
    <row r="686" ht="15.75" customHeight="1">
      <c r="M686" s="2"/>
    </row>
    <row r="687" ht="15.75" customHeight="1">
      <c r="M687" s="2"/>
    </row>
    <row r="688" ht="15.75" customHeight="1">
      <c r="M688" s="2"/>
    </row>
    <row r="689" ht="15.75" customHeight="1">
      <c r="M689" s="2"/>
    </row>
    <row r="690" ht="15.75" customHeight="1">
      <c r="M690" s="2"/>
    </row>
    <row r="691" ht="15.75" customHeight="1">
      <c r="M691" s="2"/>
    </row>
    <row r="692" ht="15.75" customHeight="1">
      <c r="M692" s="2"/>
    </row>
    <row r="693" ht="15.75" customHeight="1">
      <c r="M693" s="2"/>
    </row>
    <row r="694" ht="15.75" customHeight="1">
      <c r="M694" s="2"/>
    </row>
    <row r="695" ht="15.75" customHeight="1">
      <c r="M695" s="2"/>
    </row>
    <row r="696" ht="15.75" customHeight="1">
      <c r="M696" s="2"/>
    </row>
    <row r="697" ht="15.75" customHeight="1">
      <c r="M697" s="2"/>
    </row>
    <row r="698" ht="15.75" customHeight="1">
      <c r="M698" s="2"/>
    </row>
    <row r="699" ht="15.75" customHeight="1">
      <c r="M699" s="2"/>
    </row>
    <row r="700" ht="15.75" customHeight="1">
      <c r="M700" s="2"/>
    </row>
    <row r="701" ht="15.75" customHeight="1">
      <c r="M701" s="2"/>
    </row>
    <row r="702" ht="15.75" customHeight="1">
      <c r="M702" s="2"/>
    </row>
    <row r="703" ht="15.75" customHeight="1">
      <c r="M703" s="2"/>
    </row>
    <row r="704" ht="15.75" customHeight="1">
      <c r="M704" s="2"/>
    </row>
    <row r="705" ht="15.75" customHeight="1">
      <c r="M705" s="2"/>
    </row>
    <row r="706" ht="15.75" customHeight="1">
      <c r="M706" s="2"/>
    </row>
    <row r="707" ht="15.75" customHeight="1">
      <c r="M707" s="2"/>
    </row>
    <row r="708" ht="15.75" customHeight="1">
      <c r="M708" s="2"/>
    </row>
    <row r="709" ht="15.75" customHeight="1">
      <c r="M709" s="2"/>
    </row>
    <row r="710" ht="15.75" customHeight="1">
      <c r="M710" s="2"/>
    </row>
    <row r="711" ht="15.75" customHeight="1">
      <c r="M711" s="2"/>
    </row>
    <row r="712" ht="15.75" customHeight="1">
      <c r="M712" s="2"/>
    </row>
    <row r="713" ht="15.75" customHeight="1">
      <c r="M713" s="2"/>
    </row>
    <row r="714" ht="15.75" customHeight="1">
      <c r="M714" s="2"/>
    </row>
    <row r="715" ht="15.75" customHeight="1">
      <c r="M715" s="2"/>
    </row>
    <row r="716" ht="15.75" customHeight="1">
      <c r="M716" s="2"/>
    </row>
    <row r="717" ht="15.75" customHeight="1">
      <c r="M717" s="2"/>
    </row>
    <row r="718" ht="15.75" customHeight="1">
      <c r="M718" s="2"/>
    </row>
    <row r="719" ht="15.75" customHeight="1">
      <c r="M719" s="2"/>
    </row>
    <row r="720" ht="15.75" customHeight="1">
      <c r="M720" s="2"/>
    </row>
    <row r="721" ht="15.75" customHeight="1">
      <c r="M721" s="2"/>
    </row>
    <row r="722" ht="15.75" customHeight="1">
      <c r="M722" s="2"/>
    </row>
    <row r="723" ht="15.75" customHeight="1">
      <c r="M723" s="2"/>
    </row>
    <row r="724" ht="15.75" customHeight="1">
      <c r="M724" s="2"/>
    </row>
    <row r="725" ht="15.75" customHeight="1">
      <c r="M725" s="2"/>
    </row>
    <row r="726" ht="15.75" customHeight="1">
      <c r="M726" s="2"/>
    </row>
    <row r="727" ht="15.75" customHeight="1">
      <c r="M727" s="2"/>
    </row>
    <row r="728" ht="15.75" customHeight="1">
      <c r="M728" s="2"/>
    </row>
    <row r="729" ht="15.75" customHeight="1">
      <c r="M729" s="2"/>
    </row>
    <row r="730" ht="15.75" customHeight="1">
      <c r="M730" s="2"/>
    </row>
    <row r="731" ht="15.75" customHeight="1">
      <c r="M731" s="2"/>
    </row>
    <row r="732" ht="15.75" customHeight="1">
      <c r="M732" s="2"/>
    </row>
    <row r="733" ht="15.75" customHeight="1">
      <c r="M733" s="2"/>
    </row>
    <row r="734" ht="15.75" customHeight="1">
      <c r="M734" s="2"/>
    </row>
    <row r="735" ht="15.75" customHeight="1">
      <c r="M735" s="2"/>
    </row>
    <row r="736" ht="15.75" customHeight="1">
      <c r="M736" s="2"/>
    </row>
    <row r="737" ht="15.75" customHeight="1">
      <c r="M737" s="2"/>
    </row>
    <row r="738" ht="15.75" customHeight="1">
      <c r="M738" s="2"/>
    </row>
    <row r="739" ht="15.75" customHeight="1">
      <c r="M739" s="2"/>
    </row>
    <row r="740" ht="15.75" customHeight="1">
      <c r="M740" s="2"/>
    </row>
    <row r="741" ht="15.75" customHeight="1">
      <c r="M741" s="2"/>
    </row>
    <row r="742" ht="15.75" customHeight="1">
      <c r="M742" s="2"/>
    </row>
    <row r="743" ht="15.75" customHeight="1">
      <c r="M743" s="2"/>
    </row>
    <row r="744" ht="15.75" customHeight="1">
      <c r="M744" s="2"/>
    </row>
    <row r="745" ht="15.75" customHeight="1">
      <c r="M745" s="2"/>
    </row>
    <row r="746" ht="15.75" customHeight="1">
      <c r="M746" s="2"/>
    </row>
    <row r="747" ht="15.75" customHeight="1">
      <c r="M747" s="2"/>
    </row>
    <row r="748" ht="15.75" customHeight="1">
      <c r="M748" s="2"/>
    </row>
    <row r="749" ht="15.75" customHeight="1">
      <c r="M749" s="2"/>
    </row>
    <row r="750" ht="15.75" customHeight="1">
      <c r="M750" s="2"/>
    </row>
    <row r="751" ht="15.75" customHeight="1">
      <c r="M751" s="2"/>
    </row>
    <row r="752" ht="15.75" customHeight="1">
      <c r="M752" s="2"/>
    </row>
    <row r="753" ht="15.75" customHeight="1">
      <c r="M753" s="2"/>
    </row>
    <row r="754" ht="15.75" customHeight="1">
      <c r="M754" s="2"/>
    </row>
    <row r="755" ht="15.75" customHeight="1">
      <c r="M755" s="2"/>
    </row>
    <row r="756" ht="15.75" customHeight="1">
      <c r="M756" s="2"/>
    </row>
    <row r="757" ht="15.75" customHeight="1">
      <c r="M757" s="2"/>
    </row>
    <row r="758" ht="15.75" customHeight="1">
      <c r="M758" s="2"/>
    </row>
    <row r="759" ht="15.75" customHeight="1">
      <c r="M759" s="2"/>
    </row>
    <row r="760" ht="15.75" customHeight="1">
      <c r="M760" s="2"/>
    </row>
    <row r="761" ht="15.75" customHeight="1">
      <c r="M761" s="2"/>
    </row>
    <row r="762" ht="15.75" customHeight="1">
      <c r="M762" s="2"/>
    </row>
    <row r="763" ht="15.75" customHeight="1">
      <c r="M763" s="2"/>
    </row>
    <row r="764" ht="15.75" customHeight="1">
      <c r="M764" s="2"/>
    </row>
    <row r="765" ht="15.75" customHeight="1">
      <c r="M765" s="2"/>
    </row>
    <row r="766" ht="15.75" customHeight="1">
      <c r="M766" s="2"/>
    </row>
    <row r="767" ht="15.75" customHeight="1">
      <c r="M767" s="2"/>
    </row>
    <row r="768" ht="15.75" customHeight="1">
      <c r="M768" s="2"/>
    </row>
    <row r="769" ht="15.75" customHeight="1">
      <c r="M769" s="2"/>
    </row>
    <row r="770" ht="15.75" customHeight="1">
      <c r="M770" s="2"/>
    </row>
    <row r="771" ht="15.75" customHeight="1">
      <c r="M771" s="2"/>
    </row>
    <row r="772" ht="15.75" customHeight="1">
      <c r="M772" s="2"/>
    </row>
    <row r="773" ht="15.75" customHeight="1">
      <c r="M773" s="2"/>
    </row>
    <row r="774" ht="15.75" customHeight="1">
      <c r="M774" s="2"/>
    </row>
    <row r="775" ht="15.75" customHeight="1">
      <c r="M775" s="2"/>
    </row>
    <row r="776" ht="15.75" customHeight="1">
      <c r="M776" s="2"/>
    </row>
    <row r="777" ht="15.75" customHeight="1">
      <c r="M777" s="2"/>
    </row>
    <row r="778" ht="15.75" customHeight="1">
      <c r="M778" s="2"/>
    </row>
    <row r="779" ht="15.75" customHeight="1">
      <c r="M779" s="2"/>
    </row>
    <row r="780" ht="15.75" customHeight="1">
      <c r="M780" s="2"/>
    </row>
    <row r="781" ht="15.75" customHeight="1">
      <c r="M781" s="2"/>
    </row>
    <row r="782" ht="15.75" customHeight="1">
      <c r="M782" s="2"/>
    </row>
    <row r="783" ht="15.75" customHeight="1">
      <c r="M783" s="2"/>
    </row>
    <row r="784" ht="15.75" customHeight="1">
      <c r="M784" s="2"/>
    </row>
    <row r="785" ht="15.75" customHeight="1">
      <c r="M785" s="2"/>
    </row>
    <row r="786" ht="15.75" customHeight="1">
      <c r="M786" s="2"/>
    </row>
    <row r="787" ht="15.75" customHeight="1">
      <c r="M787" s="2"/>
    </row>
    <row r="788" ht="15.75" customHeight="1">
      <c r="M788" s="2"/>
    </row>
    <row r="789" ht="15.75" customHeight="1">
      <c r="M789" s="2"/>
    </row>
    <row r="790" ht="15.75" customHeight="1">
      <c r="M790" s="2"/>
    </row>
    <row r="791" ht="15.75" customHeight="1">
      <c r="M791" s="2"/>
    </row>
    <row r="792" ht="15.75" customHeight="1">
      <c r="M792" s="2"/>
    </row>
    <row r="793" ht="15.75" customHeight="1">
      <c r="M793" s="2"/>
    </row>
    <row r="794" ht="15.75" customHeight="1">
      <c r="M794" s="2"/>
    </row>
    <row r="795" ht="15.75" customHeight="1">
      <c r="M795" s="2"/>
    </row>
    <row r="796" ht="15.75" customHeight="1">
      <c r="M796" s="2"/>
    </row>
    <row r="797" ht="15.75" customHeight="1">
      <c r="M797" s="2"/>
    </row>
    <row r="798" ht="15.75" customHeight="1">
      <c r="M798" s="2"/>
    </row>
    <row r="799" ht="15.75" customHeight="1">
      <c r="M799" s="2"/>
    </row>
    <row r="800" ht="15.75" customHeight="1">
      <c r="M800" s="2"/>
    </row>
    <row r="801" ht="15.75" customHeight="1">
      <c r="M801" s="2"/>
    </row>
    <row r="802" ht="15.75" customHeight="1">
      <c r="M802" s="2"/>
    </row>
    <row r="803" ht="15.75" customHeight="1">
      <c r="M803" s="2"/>
    </row>
    <row r="804" ht="15.75" customHeight="1">
      <c r="M804" s="2"/>
    </row>
    <row r="805" ht="15.75" customHeight="1">
      <c r="M805" s="2"/>
    </row>
    <row r="806" ht="15.75" customHeight="1">
      <c r="M806" s="2"/>
    </row>
    <row r="807" ht="15.75" customHeight="1">
      <c r="M807" s="2"/>
    </row>
    <row r="808" ht="15.75" customHeight="1">
      <c r="M808" s="2"/>
    </row>
    <row r="809" ht="15.75" customHeight="1">
      <c r="M809" s="2"/>
    </row>
    <row r="810" ht="15.75" customHeight="1">
      <c r="M810" s="2"/>
    </row>
    <row r="811" ht="15.75" customHeight="1">
      <c r="M811" s="2"/>
    </row>
    <row r="812" ht="15.75" customHeight="1">
      <c r="M812" s="2"/>
    </row>
    <row r="813" ht="15.75" customHeight="1">
      <c r="M813" s="2"/>
    </row>
    <row r="814" ht="15.75" customHeight="1">
      <c r="M814" s="2"/>
    </row>
    <row r="815" ht="15.75" customHeight="1">
      <c r="M815" s="2"/>
    </row>
    <row r="816" ht="15.75" customHeight="1">
      <c r="M816" s="2"/>
    </row>
    <row r="817" ht="15.75" customHeight="1">
      <c r="M817" s="2"/>
    </row>
    <row r="818" ht="15.75" customHeight="1">
      <c r="M818" s="2"/>
    </row>
    <row r="819" ht="15.75" customHeight="1">
      <c r="M819" s="2"/>
    </row>
    <row r="820" ht="15.75" customHeight="1">
      <c r="M820" s="2"/>
    </row>
    <row r="821" ht="15.75" customHeight="1">
      <c r="M821" s="2"/>
    </row>
    <row r="822" ht="15.75" customHeight="1">
      <c r="M822" s="2"/>
    </row>
    <row r="823" ht="15.75" customHeight="1">
      <c r="M823" s="2"/>
    </row>
    <row r="824" ht="15.75" customHeight="1">
      <c r="M824" s="2"/>
    </row>
    <row r="825" ht="15.75" customHeight="1">
      <c r="M825" s="2"/>
    </row>
    <row r="826" ht="15.75" customHeight="1">
      <c r="M826" s="2"/>
    </row>
    <row r="827" ht="15.75" customHeight="1">
      <c r="M827" s="2"/>
    </row>
    <row r="828" ht="15.75" customHeight="1">
      <c r="M828" s="2"/>
    </row>
    <row r="829" ht="15.75" customHeight="1">
      <c r="M829" s="2"/>
    </row>
    <row r="830" ht="15.75" customHeight="1">
      <c r="M830" s="2"/>
    </row>
    <row r="831" ht="15.75" customHeight="1">
      <c r="M831" s="2"/>
    </row>
    <row r="832" ht="15.75" customHeight="1">
      <c r="M832" s="2"/>
    </row>
    <row r="833" ht="15.75" customHeight="1">
      <c r="M833" s="2"/>
    </row>
    <row r="834" ht="15.75" customHeight="1">
      <c r="M834" s="2"/>
    </row>
    <row r="835" ht="15.75" customHeight="1">
      <c r="M835" s="2"/>
    </row>
    <row r="836" ht="15.75" customHeight="1">
      <c r="M836" s="2"/>
    </row>
    <row r="837" ht="15.75" customHeight="1">
      <c r="M837" s="2"/>
    </row>
    <row r="838" ht="15.75" customHeight="1">
      <c r="M838" s="2"/>
    </row>
    <row r="839" ht="15.75" customHeight="1">
      <c r="M839" s="2"/>
    </row>
    <row r="840" ht="15.75" customHeight="1">
      <c r="M840" s="2"/>
    </row>
    <row r="841" ht="15.75" customHeight="1">
      <c r="M841" s="2"/>
    </row>
    <row r="842" ht="15.75" customHeight="1">
      <c r="M842" s="2"/>
    </row>
    <row r="843" ht="15.75" customHeight="1">
      <c r="M843" s="2"/>
    </row>
    <row r="844" ht="15.75" customHeight="1">
      <c r="M844" s="2"/>
    </row>
    <row r="845" ht="15.75" customHeight="1">
      <c r="M845" s="2"/>
    </row>
    <row r="846" ht="15.75" customHeight="1">
      <c r="M846" s="2"/>
    </row>
    <row r="847" ht="15.75" customHeight="1">
      <c r="M847" s="2"/>
    </row>
    <row r="848" ht="15.75" customHeight="1">
      <c r="M848" s="2"/>
    </row>
    <row r="849" ht="15.75" customHeight="1">
      <c r="M849" s="2"/>
    </row>
    <row r="850" ht="15.75" customHeight="1">
      <c r="M850" s="2"/>
    </row>
    <row r="851" ht="15.75" customHeight="1">
      <c r="M851" s="2"/>
    </row>
    <row r="852" ht="15.75" customHeight="1">
      <c r="M852" s="2"/>
    </row>
    <row r="853" ht="15.75" customHeight="1">
      <c r="M853" s="2"/>
    </row>
    <row r="854" ht="15.75" customHeight="1">
      <c r="M854" s="2"/>
    </row>
    <row r="855" ht="15.75" customHeight="1">
      <c r="M855" s="2"/>
    </row>
    <row r="856" ht="15.75" customHeight="1">
      <c r="M856" s="2"/>
    </row>
    <row r="857" ht="15.75" customHeight="1">
      <c r="M857" s="2"/>
    </row>
    <row r="858" ht="15.75" customHeight="1">
      <c r="M858" s="2"/>
    </row>
    <row r="859" ht="15.75" customHeight="1">
      <c r="M859" s="2"/>
    </row>
    <row r="860" ht="15.75" customHeight="1">
      <c r="M860" s="2"/>
    </row>
    <row r="861" ht="15.75" customHeight="1">
      <c r="M861" s="2"/>
    </row>
    <row r="862" ht="15.75" customHeight="1">
      <c r="M862" s="2"/>
    </row>
    <row r="863" ht="15.75" customHeight="1">
      <c r="M863" s="2"/>
    </row>
    <row r="864" ht="15.75" customHeight="1">
      <c r="M864" s="2"/>
    </row>
    <row r="865" ht="15.75" customHeight="1">
      <c r="M865" s="2"/>
    </row>
    <row r="866" ht="15.75" customHeight="1">
      <c r="M866" s="2"/>
    </row>
    <row r="867" ht="15.75" customHeight="1">
      <c r="M867" s="2"/>
    </row>
    <row r="868" ht="15.75" customHeight="1">
      <c r="M868" s="2"/>
    </row>
    <row r="869" ht="15.75" customHeight="1">
      <c r="M869" s="2"/>
    </row>
    <row r="870" ht="15.75" customHeight="1">
      <c r="M870" s="2"/>
    </row>
    <row r="871" ht="15.75" customHeight="1">
      <c r="M871" s="2"/>
    </row>
    <row r="872" ht="15.75" customHeight="1">
      <c r="M872" s="2"/>
    </row>
    <row r="873" ht="15.75" customHeight="1">
      <c r="M873" s="2"/>
    </row>
    <row r="874" ht="15.75" customHeight="1">
      <c r="M874" s="2"/>
    </row>
    <row r="875" ht="15.75" customHeight="1">
      <c r="M875" s="2"/>
    </row>
    <row r="876" ht="15.75" customHeight="1">
      <c r="M876" s="2"/>
    </row>
    <row r="877" ht="15.75" customHeight="1">
      <c r="M877" s="2"/>
    </row>
    <row r="878" ht="15.75" customHeight="1">
      <c r="M878" s="2"/>
    </row>
    <row r="879" ht="15.75" customHeight="1">
      <c r="M879" s="2"/>
    </row>
    <row r="880" ht="15.75" customHeight="1">
      <c r="M880" s="2"/>
    </row>
    <row r="881" ht="15.75" customHeight="1">
      <c r="M881" s="2"/>
    </row>
    <row r="882" ht="15.75" customHeight="1">
      <c r="M882" s="2"/>
    </row>
    <row r="883" ht="15.75" customHeight="1">
      <c r="M883" s="2"/>
    </row>
    <row r="884" ht="15.75" customHeight="1">
      <c r="M884" s="2"/>
    </row>
    <row r="885" ht="15.75" customHeight="1">
      <c r="M885" s="2"/>
    </row>
    <row r="886" ht="15.75" customHeight="1">
      <c r="M886" s="2"/>
    </row>
    <row r="887" ht="15.75" customHeight="1">
      <c r="M887" s="2"/>
    </row>
    <row r="888" ht="15.75" customHeight="1">
      <c r="M888" s="2"/>
    </row>
    <row r="889" ht="15.75" customHeight="1">
      <c r="M889" s="2"/>
    </row>
    <row r="890" ht="15.75" customHeight="1">
      <c r="M890" s="2"/>
    </row>
    <row r="891" ht="15.75" customHeight="1">
      <c r="M891" s="2"/>
    </row>
    <row r="892" ht="15.75" customHeight="1">
      <c r="M892" s="2"/>
    </row>
    <row r="893" ht="15.75" customHeight="1">
      <c r="M893" s="2"/>
    </row>
    <row r="894" ht="15.75" customHeight="1">
      <c r="M894" s="2"/>
    </row>
    <row r="895" ht="15.75" customHeight="1">
      <c r="M895" s="2"/>
    </row>
    <row r="896" ht="15.75" customHeight="1">
      <c r="M896" s="2"/>
    </row>
    <row r="897" ht="15.75" customHeight="1">
      <c r="M897" s="2"/>
    </row>
    <row r="898" ht="15.75" customHeight="1">
      <c r="M898" s="2"/>
    </row>
    <row r="899" ht="15.75" customHeight="1">
      <c r="M899" s="2"/>
    </row>
    <row r="900" ht="15.75" customHeight="1">
      <c r="M900" s="2"/>
    </row>
    <row r="901" ht="15.75" customHeight="1">
      <c r="M901" s="2"/>
    </row>
    <row r="902" ht="15.75" customHeight="1">
      <c r="M902" s="2"/>
    </row>
    <row r="903" ht="15.75" customHeight="1">
      <c r="M903" s="2"/>
    </row>
    <row r="904" ht="15.75" customHeight="1">
      <c r="M904" s="2"/>
    </row>
    <row r="905" ht="15.75" customHeight="1">
      <c r="M905" s="2"/>
    </row>
    <row r="906" ht="15.75" customHeight="1">
      <c r="M906" s="2"/>
    </row>
    <row r="907" ht="15.75" customHeight="1">
      <c r="M907" s="2"/>
    </row>
    <row r="908" ht="15.75" customHeight="1">
      <c r="M908" s="2"/>
    </row>
    <row r="909" ht="15.75" customHeight="1">
      <c r="M909" s="2"/>
    </row>
    <row r="910" ht="15.75" customHeight="1">
      <c r="M910" s="2"/>
    </row>
    <row r="911" ht="15.75" customHeight="1">
      <c r="M911" s="2"/>
    </row>
    <row r="912" ht="15.75" customHeight="1">
      <c r="M912" s="2"/>
    </row>
    <row r="913" ht="15.75" customHeight="1">
      <c r="M913" s="2"/>
    </row>
    <row r="914" ht="15.75" customHeight="1">
      <c r="M914" s="2"/>
    </row>
    <row r="915" ht="15.75" customHeight="1">
      <c r="M915" s="2"/>
    </row>
    <row r="916" ht="15.75" customHeight="1">
      <c r="M916" s="2"/>
    </row>
    <row r="917" ht="15.75" customHeight="1">
      <c r="M917" s="2"/>
    </row>
    <row r="918" ht="15.75" customHeight="1">
      <c r="M918" s="2"/>
    </row>
    <row r="919" ht="15.75" customHeight="1">
      <c r="M919" s="2"/>
    </row>
    <row r="920" ht="15.75" customHeight="1">
      <c r="M920" s="2"/>
    </row>
    <row r="921" ht="15.75" customHeight="1">
      <c r="M921" s="2"/>
    </row>
    <row r="922" ht="15.75" customHeight="1">
      <c r="M922" s="2"/>
    </row>
    <row r="923" ht="15.75" customHeight="1">
      <c r="M923" s="2"/>
    </row>
    <row r="924" ht="15.75" customHeight="1">
      <c r="M924" s="2"/>
    </row>
    <row r="925" ht="15.75" customHeight="1">
      <c r="M925" s="2"/>
    </row>
    <row r="926" ht="15.75" customHeight="1">
      <c r="M926" s="2"/>
    </row>
    <row r="927" ht="15.75" customHeight="1">
      <c r="M927" s="2"/>
    </row>
    <row r="928" ht="15.75" customHeight="1">
      <c r="M928" s="2"/>
    </row>
    <row r="929" ht="15.75" customHeight="1">
      <c r="M929" s="2"/>
    </row>
    <row r="930" ht="15.75" customHeight="1">
      <c r="M930" s="2"/>
    </row>
    <row r="931" ht="15.75" customHeight="1">
      <c r="M931" s="2"/>
    </row>
    <row r="932" ht="15.75" customHeight="1">
      <c r="M932" s="2"/>
    </row>
    <row r="933" ht="15.75" customHeight="1">
      <c r="M933" s="2"/>
    </row>
    <row r="934" ht="15.75" customHeight="1">
      <c r="M934" s="2"/>
    </row>
    <row r="935" ht="15.75" customHeight="1">
      <c r="M935" s="2"/>
    </row>
    <row r="936" ht="15.75" customHeight="1">
      <c r="M936" s="2"/>
    </row>
    <row r="937" ht="15.75" customHeight="1">
      <c r="M937" s="2"/>
    </row>
    <row r="938" ht="15.75" customHeight="1">
      <c r="M938" s="2"/>
    </row>
    <row r="939" ht="15.75" customHeight="1">
      <c r="M939" s="2"/>
    </row>
    <row r="940" ht="15.75" customHeight="1">
      <c r="M940" s="2"/>
    </row>
    <row r="941" ht="15.75" customHeight="1">
      <c r="M941" s="2"/>
    </row>
    <row r="942" ht="15.75" customHeight="1">
      <c r="M942" s="2"/>
    </row>
    <row r="943" ht="15.75" customHeight="1">
      <c r="M943" s="2"/>
    </row>
    <row r="944" ht="15.75" customHeight="1">
      <c r="M944" s="2"/>
    </row>
    <row r="945" ht="15.75" customHeight="1">
      <c r="M945" s="2"/>
    </row>
    <row r="946" ht="15.75" customHeight="1">
      <c r="M946" s="2"/>
    </row>
    <row r="947" ht="15.75" customHeight="1">
      <c r="M947" s="2"/>
    </row>
    <row r="948" ht="15.75" customHeight="1">
      <c r="M948" s="2"/>
    </row>
    <row r="949" ht="15.75" customHeight="1">
      <c r="M949" s="2"/>
    </row>
    <row r="950" ht="15.75" customHeight="1">
      <c r="M950" s="2"/>
    </row>
    <row r="951" ht="15.75" customHeight="1">
      <c r="M951" s="2"/>
    </row>
    <row r="952" ht="15.75" customHeight="1">
      <c r="M952" s="2"/>
    </row>
    <row r="953" ht="15.75" customHeight="1">
      <c r="M953" s="2"/>
    </row>
    <row r="954" ht="15.75" customHeight="1">
      <c r="M954" s="2"/>
    </row>
    <row r="955" ht="15.75" customHeight="1">
      <c r="M955" s="2"/>
    </row>
    <row r="956" ht="15.75" customHeight="1">
      <c r="M956" s="2"/>
    </row>
    <row r="957" ht="15.75" customHeight="1">
      <c r="M957" s="2"/>
    </row>
    <row r="958" ht="15.75" customHeight="1">
      <c r="M958" s="2"/>
    </row>
    <row r="959" ht="15.75" customHeight="1">
      <c r="M959" s="2"/>
    </row>
    <row r="960" ht="15.75" customHeight="1">
      <c r="M960" s="2"/>
    </row>
    <row r="961" ht="15.75" customHeight="1">
      <c r="M961" s="2"/>
    </row>
    <row r="962" ht="15.75" customHeight="1">
      <c r="M962" s="2"/>
    </row>
    <row r="963" ht="15.75" customHeight="1">
      <c r="M963" s="2"/>
    </row>
    <row r="964" ht="15.75" customHeight="1">
      <c r="M964" s="2"/>
    </row>
    <row r="965" ht="15.75" customHeight="1">
      <c r="M965" s="2"/>
    </row>
    <row r="966" ht="15.75" customHeight="1">
      <c r="M966" s="2"/>
    </row>
    <row r="967" ht="15.75" customHeight="1">
      <c r="M967" s="2"/>
    </row>
    <row r="968" ht="15.75" customHeight="1">
      <c r="M968" s="2"/>
    </row>
    <row r="969" ht="15.75" customHeight="1">
      <c r="M969" s="2"/>
    </row>
    <row r="970" ht="15.75" customHeight="1">
      <c r="M970" s="2"/>
    </row>
    <row r="971" ht="15.75" customHeight="1">
      <c r="M971" s="2"/>
    </row>
    <row r="972" ht="15.75" customHeight="1">
      <c r="M972" s="2"/>
    </row>
    <row r="973" ht="15.75" customHeight="1">
      <c r="M973" s="2"/>
    </row>
    <row r="974" ht="15.75" customHeight="1">
      <c r="M974" s="2"/>
    </row>
    <row r="975" ht="15.75" customHeight="1">
      <c r="M975" s="2"/>
    </row>
    <row r="976" ht="15.75" customHeight="1">
      <c r="M976" s="2"/>
    </row>
    <row r="977" ht="15.75" customHeight="1">
      <c r="M977" s="2"/>
    </row>
    <row r="978" ht="15.75" customHeight="1">
      <c r="M978" s="2"/>
    </row>
    <row r="979" ht="15.75" customHeight="1">
      <c r="M979" s="2"/>
    </row>
    <row r="980" ht="15.75" customHeight="1">
      <c r="M980" s="2"/>
    </row>
    <row r="981" ht="15.75" customHeight="1">
      <c r="M981" s="2"/>
    </row>
    <row r="982" ht="15.75" customHeight="1">
      <c r="M982" s="2"/>
    </row>
    <row r="983" ht="15.75" customHeight="1">
      <c r="M983" s="2"/>
    </row>
    <row r="984" ht="15.75" customHeight="1">
      <c r="M984" s="2"/>
    </row>
    <row r="985" ht="15.75" customHeight="1">
      <c r="M985" s="2"/>
    </row>
    <row r="986" ht="15.75" customHeight="1">
      <c r="M986" s="2"/>
    </row>
    <row r="987" ht="15.75" customHeight="1">
      <c r="M987" s="2"/>
    </row>
    <row r="988" ht="15.75" customHeight="1">
      <c r="M988" s="2"/>
    </row>
    <row r="989" ht="15.75" customHeight="1">
      <c r="M989" s="2"/>
    </row>
    <row r="990" ht="15.75" customHeight="1">
      <c r="M990" s="2"/>
    </row>
    <row r="991" ht="15.75" customHeight="1">
      <c r="M991" s="2"/>
    </row>
    <row r="992" ht="15.75" customHeight="1">
      <c r="M992" s="2"/>
    </row>
    <row r="993" ht="15.75" customHeight="1">
      <c r="M993" s="2"/>
    </row>
    <row r="994" ht="15.75" customHeight="1">
      <c r="M994" s="2"/>
    </row>
    <row r="995" ht="15.75" customHeight="1">
      <c r="M995" s="2"/>
    </row>
    <row r="996" ht="15.75" customHeight="1">
      <c r="M996" s="2"/>
    </row>
    <row r="997" ht="15.75" customHeight="1">
      <c r="M997" s="2"/>
    </row>
    <row r="998" ht="15.75" customHeight="1">
      <c r="M998" s="2"/>
    </row>
    <row r="999" ht="15.75" customHeight="1">
      <c r="M999" s="2"/>
    </row>
    <row r="1000" ht="15.75" customHeight="1">
      <c r="M1000" s="2"/>
    </row>
    <row r="1001" ht="15.75" customHeight="1">
      <c r="M1001" s="2"/>
    </row>
    <row r="1002" ht="15.75" customHeight="1">
      <c r="M1002" s="2"/>
    </row>
    <row r="1003" ht="15.75" customHeight="1">
      <c r="M1003" s="2"/>
    </row>
  </sheetData>
  <hyperlinks>
    <hyperlink r:id="rId1" ref="P2"/>
  </hyperlinks>
  <printOptions/>
  <pageMargins bottom="0.75" footer="0.0" header="0.0" left="0.7" right="0.7" top="0.75"/>
  <pageSetup orientation="landscape"/>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60</v>
      </c>
      <c r="B1" s="1" t="s">
        <v>61</v>
      </c>
      <c r="C1" s="6" t="s">
        <v>8</v>
      </c>
      <c r="D1" s="6" t="s">
        <v>61</v>
      </c>
      <c r="F1" s="14" t="s">
        <v>62</v>
      </c>
      <c r="G1" s="6" t="s">
        <v>63</v>
      </c>
    </row>
    <row r="2">
      <c r="A2" s="3" t="s">
        <v>64</v>
      </c>
      <c r="B2" s="3" t="s">
        <v>65</v>
      </c>
      <c r="C2" s="3" t="s">
        <v>64</v>
      </c>
      <c r="D2" s="3" t="str">
        <f t="shared" ref="D2:D19" si="1">xlookup(C2,A$2:A$9,$B$2:$B$9)</f>
        <v>Germany</v>
      </c>
      <c r="E2" s="11"/>
      <c r="F2" s="9" t="str">
        <f t="array" ref="F2:F6">unique(D2:D19)</f>
        <v>Germany</v>
      </c>
      <c r="G2" s="9">
        <f t="shared" ref="G2:G6" si="2">countif($D$2:$D$19,F2)</f>
        <v>11</v>
      </c>
      <c r="L2" s="12"/>
    </row>
    <row r="3">
      <c r="A3" s="3" t="s">
        <v>26</v>
      </c>
      <c r="B3" s="3" t="s">
        <v>65</v>
      </c>
      <c r="C3" s="3" t="s">
        <v>26</v>
      </c>
      <c r="D3" s="3" t="str">
        <f t="shared" si="1"/>
        <v>Germany</v>
      </c>
      <c r="F3" s="11" t="s">
        <v>66</v>
      </c>
      <c r="G3" s="3">
        <f t="shared" si="2"/>
        <v>3</v>
      </c>
      <c r="L3" s="12"/>
    </row>
    <row r="4">
      <c r="A4" s="3" t="s">
        <v>38</v>
      </c>
      <c r="B4" s="3" t="s">
        <v>67</v>
      </c>
      <c r="C4" s="3" t="s">
        <v>31</v>
      </c>
      <c r="D4" s="3" t="str">
        <f t="shared" si="1"/>
        <v>Germany</v>
      </c>
      <c r="F4" s="11" t="s">
        <v>67</v>
      </c>
      <c r="G4" s="3">
        <f t="shared" si="2"/>
        <v>2</v>
      </c>
      <c r="L4" s="12"/>
    </row>
    <row r="5">
      <c r="A5" s="3" t="s">
        <v>43</v>
      </c>
      <c r="B5" s="3" t="s">
        <v>68</v>
      </c>
      <c r="C5" s="3" t="s">
        <v>64</v>
      </c>
      <c r="D5" s="3" t="str">
        <f t="shared" si="1"/>
        <v>Germany</v>
      </c>
      <c r="F5" s="11" t="s">
        <v>69</v>
      </c>
      <c r="G5" s="3">
        <f t="shared" si="2"/>
        <v>1</v>
      </c>
      <c r="L5" s="12"/>
    </row>
    <row r="6">
      <c r="A6" s="3" t="s">
        <v>31</v>
      </c>
      <c r="B6" s="3" t="s">
        <v>65</v>
      </c>
      <c r="C6" s="3" t="s">
        <v>64</v>
      </c>
      <c r="D6" s="3" t="str">
        <f t="shared" si="1"/>
        <v>Germany</v>
      </c>
      <c r="F6" s="11" t="s">
        <v>68</v>
      </c>
      <c r="G6" s="3">
        <f t="shared" si="2"/>
        <v>1</v>
      </c>
      <c r="L6" s="12"/>
    </row>
    <row r="7">
      <c r="A7" s="3" t="s">
        <v>41</v>
      </c>
      <c r="B7" s="3" t="s">
        <v>69</v>
      </c>
      <c r="C7" s="3" t="s">
        <v>34</v>
      </c>
      <c r="D7" s="3" t="str">
        <f t="shared" si="1"/>
        <v>Japan</v>
      </c>
      <c r="L7" s="12"/>
    </row>
    <row r="8">
      <c r="A8" s="3" t="s">
        <v>42</v>
      </c>
      <c r="B8" s="3" t="s">
        <v>67</v>
      </c>
      <c r="C8" s="3" t="s">
        <v>64</v>
      </c>
      <c r="D8" s="3" t="str">
        <f t="shared" si="1"/>
        <v>Germany</v>
      </c>
      <c r="F8" s="11"/>
      <c r="L8" s="12"/>
    </row>
    <row r="9">
      <c r="A9" s="3" t="s">
        <v>34</v>
      </c>
      <c r="B9" s="3" t="s">
        <v>66</v>
      </c>
      <c r="C9" s="3" t="s">
        <v>64</v>
      </c>
      <c r="D9" s="3" t="str">
        <f t="shared" si="1"/>
        <v>Germany</v>
      </c>
      <c r="F9" s="11"/>
      <c r="L9" s="12"/>
    </row>
    <row r="10">
      <c r="C10" s="3" t="s">
        <v>64</v>
      </c>
      <c r="D10" s="3" t="str">
        <f t="shared" si="1"/>
        <v>Germany</v>
      </c>
      <c r="F10" s="11"/>
      <c r="J10" s="12"/>
      <c r="K10" s="12"/>
    </row>
    <row r="11">
      <c r="C11" s="3" t="s">
        <v>31</v>
      </c>
      <c r="D11" s="3" t="str">
        <f t="shared" si="1"/>
        <v>Germany</v>
      </c>
      <c r="F11" s="11"/>
      <c r="K11" s="12"/>
      <c r="L11" s="12"/>
    </row>
    <row r="12">
      <c r="C12" s="3" t="s">
        <v>38</v>
      </c>
      <c r="D12" s="3" t="str">
        <f t="shared" si="1"/>
        <v>USA</v>
      </c>
      <c r="F12" s="11"/>
      <c r="K12" s="12"/>
      <c r="L12" s="12"/>
    </row>
    <row r="13">
      <c r="C13" s="3" t="s">
        <v>41</v>
      </c>
      <c r="D13" s="3" t="str">
        <f t="shared" si="1"/>
        <v>Sweden</v>
      </c>
      <c r="F13" s="11"/>
      <c r="K13" s="12"/>
      <c r="L13" s="12"/>
    </row>
    <row r="14">
      <c r="C14" s="3" t="s">
        <v>26</v>
      </c>
      <c r="D14" s="3" t="str">
        <f t="shared" si="1"/>
        <v>Germany</v>
      </c>
      <c r="F14" s="11"/>
      <c r="K14" s="12"/>
      <c r="L14" s="12"/>
    </row>
    <row r="15">
      <c r="C15" s="3" t="s">
        <v>42</v>
      </c>
      <c r="D15" s="3" t="str">
        <f t="shared" si="1"/>
        <v>USA</v>
      </c>
      <c r="F15" s="11"/>
      <c r="K15" s="12"/>
      <c r="L15" s="12"/>
    </row>
    <row r="16">
      <c r="C16" s="3" t="s">
        <v>43</v>
      </c>
      <c r="D16" s="3" t="str">
        <f t="shared" si="1"/>
        <v>UK</v>
      </c>
      <c r="F16" s="11"/>
    </row>
    <row r="17">
      <c r="C17" s="3" t="s">
        <v>34</v>
      </c>
      <c r="D17" s="3" t="str">
        <f t="shared" si="1"/>
        <v>Japan</v>
      </c>
      <c r="F17" s="11"/>
    </row>
    <row r="18">
      <c r="C18" s="3" t="s">
        <v>64</v>
      </c>
      <c r="D18" s="3" t="str">
        <f t="shared" si="1"/>
        <v>Germany</v>
      </c>
      <c r="F18" s="11"/>
    </row>
    <row r="19">
      <c r="C19" s="3" t="s">
        <v>34</v>
      </c>
      <c r="D19" s="3" t="str">
        <f t="shared" si="1"/>
        <v>Japan</v>
      </c>
      <c r="F19" s="11"/>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71"/>
    <col customWidth="1" min="2" max="2" width="16.71"/>
    <col customWidth="1" min="3" max="3" width="21.86"/>
    <col customWidth="1" min="4" max="6" width="8.71"/>
    <col customWidth="1" min="7" max="7" width="10.57"/>
    <col customWidth="1" min="8" max="8" width="10.86"/>
    <col customWidth="1" min="9" max="9" width="13.43"/>
    <col customWidth="1" min="10" max="26" width="8.71"/>
  </cols>
  <sheetData>
    <row r="1">
      <c r="A1" s="1"/>
      <c r="B1" s="1" t="s">
        <v>7</v>
      </c>
      <c r="C1" s="1" t="s">
        <v>11</v>
      </c>
      <c r="D1" s="1" t="s">
        <v>12</v>
      </c>
      <c r="E1" s="1" t="s">
        <v>13</v>
      </c>
      <c r="F1" s="1" t="s">
        <v>16</v>
      </c>
      <c r="G1" s="1" t="s">
        <v>17</v>
      </c>
      <c r="H1" s="1" t="s">
        <v>18</v>
      </c>
      <c r="I1" s="1"/>
      <c r="J1" s="1"/>
      <c r="K1" s="1"/>
      <c r="L1" s="1"/>
      <c r="M1" s="1"/>
      <c r="N1" s="1"/>
      <c r="O1" s="1"/>
      <c r="P1" s="1"/>
      <c r="Q1" s="1"/>
      <c r="R1" s="1"/>
      <c r="S1" s="1"/>
      <c r="T1" s="1"/>
      <c r="U1" s="1"/>
      <c r="V1" s="1"/>
      <c r="W1" s="1"/>
      <c r="X1" s="1"/>
      <c r="Y1" s="1"/>
      <c r="Z1" s="1"/>
    </row>
    <row r="2">
      <c r="B2" s="3" t="s">
        <v>21</v>
      </c>
      <c r="C2" s="3">
        <v>2012.0</v>
      </c>
      <c r="D2" s="3">
        <v>342358.0</v>
      </c>
      <c r="E2" s="3" t="s">
        <v>22</v>
      </c>
      <c r="F2" s="3" t="s">
        <v>23</v>
      </c>
      <c r="G2" s="3" t="s">
        <v>24</v>
      </c>
      <c r="H2" s="3" t="s">
        <v>70</v>
      </c>
    </row>
    <row r="3">
      <c r="B3" s="3" t="s">
        <v>25</v>
      </c>
      <c r="C3" s="3">
        <v>2017.0</v>
      </c>
      <c r="D3" s="3">
        <v>130000.0</v>
      </c>
      <c r="E3" s="3" t="s">
        <v>27</v>
      </c>
      <c r="F3" s="3" t="s">
        <v>28</v>
      </c>
      <c r="G3" s="3" t="s">
        <v>29</v>
      </c>
      <c r="H3" s="3" t="s">
        <v>71</v>
      </c>
    </row>
    <row r="4">
      <c r="B4" s="3" t="s">
        <v>30</v>
      </c>
      <c r="C4" s="3">
        <v>2020.0</v>
      </c>
      <c r="D4" s="3">
        <v>92450.0</v>
      </c>
      <c r="E4" s="3" t="s">
        <v>32</v>
      </c>
      <c r="F4" s="3" t="s">
        <v>23</v>
      </c>
      <c r="G4" s="3" t="s">
        <v>33</v>
      </c>
      <c r="H4" s="3" t="s">
        <v>72</v>
      </c>
    </row>
    <row r="5">
      <c r="B5" s="3" t="s">
        <v>21</v>
      </c>
      <c r="C5" s="3">
        <v>2020.0</v>
      </c>
      <c r="D5" s="3">
        <v>76240.0</v>
      </c>
      <c r="E5" s="3" t="s">
        <v>22</v>
      </c>
      <c r="F5" s="3" t="s">
        <v>23</v>
      </c>
      <c r="G5" s="3" t="s">
        <v>29</v>
      </c>
      <c r="H5" s="3" t="s">
        <v>73</v>
      </c>
    </row>
    <row r="6">
      <c r="B6" s="3" t="s">
        <v>37</v>
      </c>
      <c r="C6" s="3">
        <v>2021.0</v>
      </c>
      <c r="D6" s="3">
        <v>17283.0</v>
      </c>
      <c r="E6" s="3" t="s">
        <v>22</v>
      </c>
      <c r="F6" s="3" t="s">
        <v>28</v>
      </c>
      <c r="G6" s="3" t="s">
        <v>24</v>
      </c>
      <c r="H6" s="3" t="s">
        <v>74</v>
      </c>
    </row>
    <row r="7">
      <c r="B7" s="3" t="s">
        <v>40</v>
      </c>
      <c r="C7" s="3">
        <v>2020.0</v>
      </c>
      <c r="D7" s="3">
        <v>98312.0</v>
      </c>
      <c r="E7" s="3" t="s">
        <v>27</v>
      </c>
      <c r="F7" s="3" t="s">
        <v>23</v>
      </c>
      <c r="G7" s="3" t="s">
        <v>33</v>
      </c>
      <c r="H7" s="3" t="s">
        <v>75</v>
      </c>
    </row>
    <row r="8">
      <c r="B8" s="3" t="s">
        <v>37</v>
      </c>
      <c r="C8" s="3">
        <v>2018.0</v>
      </c>
      <c r="D8" s="3">
        <v>156784.0</v>
      </c>
      <c r="E8" s="3" t="s">
        <v>35</v>
      </c>
      <c r="F8" s="3" t="s">
        <v>28</v>
      </c>
      <c r="G8" s="3" t="s">
        <v>33</v>
      </c>
      <c r="H8" s="3" t="s">
        <v>76</v>
      </c>
    </row>
    <row r="9">
      <c r="B9" s="3" t="s">
        <v>21</v>
      </c>
      <c r="C9" s="3">
        <v>2019.0</v>
      </c>
      <c r="D9" s="3">
        <v>52034.0</v>
      </c>
      <c r="E9" s="3" t="s">
        <v>77</v>
      </c>
      <c r="F9" s="3" t="s">
        <v>23</v>
      </c>
      <c r="G9" s="3" t="s">
        <v>24</v>
      </c>
      <c r="H9" s="3" t="s">
        <v>78</v>
      </c>
    </row>
    <row r="10">
      <c r="B10" s="3" t="s">
        <v>44</v>
      </c>
      <c r="C10" s="3">
        <v>2011.0</v>
      </c>
      <c r="D10" s="3">
        <v>205204.0</v>
      </c>
      <c r="E10" s="3" t="s">
        <v>27</v>
      </c>
      <c r="F10" s="3" t="s">
        <v>23</v>
      </c>
      <c r="G10" s="3" t="s">
        <v>29</v>
      </c>
      <c r="H10" s="3" t="s">
        <v>79</v>
      </c>
    </row>
    <row r="11">
      <c r="B11" s="3" t="s">
        <v>30</v>
      </c>
      <c r="C11" s="3">
        <v>2014.0</v>
      </c>
      <c r="D11" s="3">
        <v>152985.0</v>
      </c>
      <c r="E11" s="3" t="s">
        <v>32</v>
      </c>
      <c r="F11" s="3" t="s">
        <v>23</v>
      </c>
      <c r="G11" s="3" t="s">
        <v>29</v>
      </c>
      <c r="H11" s="3" t="s">
        <v>80</v>
      </c>
    </row>
    <row r="12">
      <c r="B12" s="3" t="s">
        <v>45</v>
      </c>
      <c r="C12" s="3">
        <v>2018.0</v>
      </c>
      <c r="D12" s="3">
        <v>76429.0</v>
      </c>
      <c r="E12" s="3" t="s">
        <v>39</v>
      </c>
      <c r="F12" s="3" t="s">
        <v>23</v>
      </c>
      <c r="G12" s="3" t="s">
        <v>24</v>
      </c>
      <c r="H12" s="3" t="s">
        <v>81</v>
      </c>
    </row>
    <row r="13">
      <c r="B13" s="3" t="s">
        <v>46</v>
      </c>
      <c r="C13" s="3">
        <v>2013.0</v>
      </c>
      <c r="D13" s="3">
        <v>254028.0</v>
      </c>
      <c r="E13" s="3" t="s">
        <v>82</v>
      </c>
      <c r="F13" s="3" t="s">
        <v>28</v>
      </c>
      <c r="G13" s="3" t="s">
        <v>29</v>
      </c>
      <c r="H13" s="3" t="s">
        <v>83</v>
      </c>
    </row>
    <row r="14">
      <c r="B14" s="3" t="s">
        <v>47</v>
      </c>
      <c r="C14" s="3">
        <v>2014.0</v>
      </c>
      <c r="D14" s="3">
        <v>45832.0</v>
      </c>
      <c r="E14" s="3" t="s">
        <v>22</v>
      </c>
      <c r="F14" s="3" t="s">
        <v>28</v>
      </c>
      <c r="G14" s="3" t="s">
        <v>24</v>
      </c>
      <c r="H14" s="3" t="s">
        <v>84</v>
      </c>
    </row>
    <row r="15">
      <c r="B15" s="3" t="s">
        <v>48</v>
      </c>
      <c r="C15" s="3">
        <v>2018.0</v>
      </c>
      <c r="D15" s="3">
        <v>67591.0</v>
      </c>
      <c r="E15" s="3" t="s">
        <v>35</v>
      </c>
      <c r="F15" s="3" t="s">
        <v>23</v>
      </c>
      <c r="G15" s="3" t="s">
        <v>29</v>
      </c>
      <c r="H15" s="3" t="s">
        <v>85</v>
      </c>
    </row>
    <row r="16">
      <c r="B16" s="3" t="s">
        <v>49</v>
      </c>
      <c r="C16" s="3">
        <v>2013.0</v>
      </c>
      <c r="D16" s="3">
        <v>85320.0</v>
      </c>
      <c r="E16" s="3" t="s">
        <v>22</v>
      </c>
      <c r="F16" s="3" t="s">
        <v>23</v>
      </c>
      <c r="G16" s="3" t="s">
        <v>29</v>
      </c>
      <c r="H16" s="3" t="s">
        <v>86</v>
      </c>
    </row>
    <row r="17">
      <c r="B17" s="3" t="s">
        <v>40</v>
      </c>
      <c r="C17" s="3">
        <v>2016.0</v>
      </c>
      <c r="D17" s="3">
        <v>5000.0</v>
      </c>
      <c r="E17" s="3" t="s">
        <v>22</v>
      </c>
      <c r="F17" s="3" t="s">
        <v>23</v>
      </c>
      <c r="G17" s="3" t="s">
        <v>24</v>
      </c>
      <c r="H17" s="3" t="s">
        <v>87</v>
      </c>
    </row>
    <row r="18">
      <c r="B18" s="3" t="s">
        <v>50</v>
      </c>
      <c r="C18" s="3">
        <v>2017.0</v>
      </c>
      <c r="D18" s="3">
        <v>92450.0</v>
      </c>
      <c r="E18" s="3" t="s">
        <v>27</v>
      </c>
      <c r="F18" s="3" t="s">
        <v>28</v>
      </c>
      <c r="G18" s="3" t="s">
        <v>29</v>
      </c>
      <c r="H18" s="3" t="s">
        <v>88</v>
      </c>
    </row>
    <row r="19">
      <c r="B19" s="3" t="s">
        <v>40</v>
      </c>
      <c r="C19" s="3">
        <v>2015.0</v>
      </c>
      <c r="D19" s="3">
        <v>130000.0</v>
      </c>
      <c r="E19" s="3" t="s">
        <v>32</v>
      </c>
      <c r="F19" s="3" t="s">
        <v>23</v>
      </c>
      <c r="G19" s="3" t="s">
        <v>36</v>
      </c>
      <c r="H19" s="3" t="s">
        <v>89</v>
      </c>
    </row>
    <row r="21" ht="15.75" customHeight="1">
      <c r="B21" s="3" t="s">
        <v>0</v>
      </c>
    </row>
    <row r="22" ht="15.75" customHeight="1">
      <c r="A22" s="3">
        <v>1.0</v>
      </c>
      <c r="B22" s="3" t="s">
        <v>2</v>
      </c>
    </row>
    <row r="23" ht="15.75" customHeight="1"/>
    <row r="24" ht="15.75" customHeight="1">
      <c r="B24" s="1" t="s">
        <v>90</v>
      </c>
    </row>
    <row r="25" ht="15.75" customHeight="1">
      <c r="B25" s="3" t="s">
        <v>91</v>
      </c>
    </row>
    <row r="26" ht="15.75" customHeight="1">
      <c r="B26" s="3" t="s">
        <v>92</v>
      </c>
    </row>
    <row r="27" ht="15.75" customHeight="1"/>
    <row r="28" ht="15.75" customHeight="1">
      <c r="A28" s="1"/>
      <c r="B28" s="1" t="s">
        <v>7</v>
      </c>
      <c r="C28" s="1" t="s">
        <v>11</v>
      </c>
      <c r="D28" s="1" t="s">
        <v>12</v>
      </c>
      <c r="E28" s="1" t="s">
        <v>13</v>
      </c>
      <c r="F28" s="1" t="s">
        <v>16</v>
      </c>
      <c r="G28" s="1" t="s">
        <v>17</v>
      </c>
      <c r="H28" s="1" t="s">
        <v>18</v>
      </c>
      <c r="I28" s="1" t="s">
        <v>8</v>
      </c>
      <c r="J28" s="1"/>
      <c r="K28" s="1"/>
      <c r="L28" s="1"/>
      <c r="M28" s="1"/>
      <c r="N28" s="1"/>
      <c r="O28" s="1"/>
      <c r="P28" s="1"/>
      <c r="Q28" s="1"/>
      <c r="R28" s="1"/>
      <c r="S28" s="1"/>
      <c r="T28" s="1"/>
      <c r="U28" s="1"/>
      <c r="V28" s="1"/>
      <c r="W28" s="1"/>
      <c r="X28" s="1"/>
      <c r="Y28" s="1"/>
      <c r="Z28" s="1"/>
    </row>
    <row r="29" ht="15.75" customHeight="1">
      <c r="B29" s="3" t="s">
        <v>21</v>
      </c>
      <c r="C29" s="3">
        <v>2012.0</v>
      </c>
      <c r="D29" s="3">
        <v>342358.0</v>
      </c>
      <c r="E29" s="3" t="s">
        <v>22</v>
      </c>
      <c r="F29" s="3" t="s">
        <v>23</v>
      </c>
      <c r="G29" s="3" t="s">
        <v>24</v>
      </c>
      <c r="H29" s="3" t="s">
        <v>70</v>
      </c>
      <c r="I29" s="15" t="str">
        <f t="shared" ref="I29:I46" si="1">LEFT(B29,FIND(" ",B29)-1)</f>
        <v>BMW</v>
      </c>
      <c r="J29" s="1" t="str">
        <f t="shared" ref="J29:J46" si="2">FORMULATEXT(I29)</f>
        <v>=LEFT(B29,FIND(" ",B29)-1)</v>
      </c>
    </row>
    <row r="30" ht="15.75" customHeight="1">
      <c r="B30" s="3" t="s">
        <v>25</v>
      </c>
      <c r="C30" s="3">
        <v>2017.0</v>
      </c>
      <c r="D30" s="3">
        <v>130000.0</v>
      </c>
      <c r="E30" s="3" t="s">
        <v>27</v>
      </c>
      <c r="F30" s="3" t="s">
        <v>28</v>
      </c>
      <c r="G30" s="3" t="s">
        <v>29</v>
      </c>
      <c r="H30" s="3" t="s">
        <v>71</v>
      </c>
      <c r="I30" s="15" t="str">
        <f t="shared" si="1"/>
        <v>Audi</v>
      </c>
      <c r="J30" s="1" t="str">
        <f t="shared" si="2"/>
        <v>=LEFT(B30,FIND(" ",B30)-1)</v>
      </c>
    </row>
    <row r="31" ht="15.75" customHeight="1">
      <c r="B31" s="3" t="s">
        <v>30</v>
      </c>
      <c r="C31" s="3">
        <v>2020.0</v>
      </c>
      <c r="D31" s="3">
        <v>92450.0</v>
      </c>
      <c r="E31" s="3" t="s">
        <v>32</v>
      </c>
      <c r="F31" s="3" t="s">
        <v>23</v>
      </c>
      <c r="G31" s="3" t="s">
        <v>33</v>
      </c>
      <c r="H31" s="3" t="s">
        <v>72</v>
      </c>
      <c r="I31" s="15" t="str">
        <f t="shared" si="1"/>
        <v>Mercedes</v>
      </c>
      <c r="J31" s="1" t="str">
        <f t="shared" si="2"/>
        <v>=LEFT(B31,FIND(" ",B31)-1)</v>
      </c>
    </row>
    <row r="32" ht="15.75" customHeight="1">
      <c r="B32" s="3" t="s">
        <v>21</v>
      </c>
      <c r="C32" s="3">
        <v>2020.0</v>
      </c>
      <c r="D32" s="3">
        <v>76240.0</v>
      </c>
      <c r="E32" s="3" t="s">
        <v>22</v>
      </c>
      <c r="F32" s="3" t="s">
        <v>23</v>
      </c>
      <c r="G32" s="3" t="s">
        <v>29</v>
      </c>
      <c r="H32" s="3" t="s">
        <v>73</v>
      </c>
      <c r="I32" s="15" t="str">
        <f t="shared" si="1"/>
        <v>BMW</v>
      </c>
      <c r="J32" s="1" t="str">
        <f t="shared" si="2"/>
        <v>=LEFT(B32,FIND(" ",B32)-1)</v>
      </c>
    </row>
    <row r="33" ht="15.75" customHeight="1">
      <c r="B33" s="3" t="s">
        <v>37</v>
      </c>
      <c r="C33" s="3">
        <v>2021.0</v>
      </c>
      <c r="D33" s="3">
        <v>17283.0</v>
      </c>
      <c r="E33" s="3" t="s">
        <v>22</v>
      </c>
      <c r="F33" s="3" t="s">
        <v>28</v>
      </c>
      <c r="G33" s="3" t="s">
        <v>24</v>
      </c>
      <c r="H33" s="3" t="s">
        <v>74</v>
      </c>
      <c r="I33" s="15" t="str">
        <f t="shared" si="1"/>
        <v>BMW</v>
      </c>
      <c r="J33" s="1" t="str">
        <f t="shared" si="2"/>
        <v>=LEFT(B33,FIND(" ",B33)-1)</v>
      </c>
    </row>
    <row r="34" ht="15.75" customHeight="1">
      <c r="B34" s="3" t="s">
        <v>40</v>
      </c>
      <c r="C34" s="3">
        <v>2020.0</v>
      </c>
      <c r="D34" s="3">
        <v>98312.0</v>
      </c>
      <c r="E34" s="3" t="s">
        <v>27</v>
      </c>
      <c r="F34" s="3" t="s">
        <v>23</v>
      </c>
      <c r="G34" s="3" t="s">
        <v>33</v>
      </c>
      <c r="H34" s="3" t="s">
        <v>75</v>
      </c>
      <c r="I34" s="15" t="str">
        <f t="shared" si="1"/>
        <v>Lexus</v>
      </c>
      <c r="J34" s="1" t="str">
        <f t="shared" si="2"/>
        <v>=LEFT(B34,FIND(" ",B34)-1)</v>
      </c>
    </row>
    <row r="35" ht="15.75" customHeight="1">
      <c r="B35" s="3" t="s">
        <v>37</v>
      </c>
      <c r="C35" s="3">
        <v>2018.0</v>
      </c>
      <c r="D35" s="3">
        <v>156784.0</v>
      </c>
      <c r="E35" s="3" t="s">
        <v>35</v>
      </c>
      <c r="F35" s="3" t="s">
        <v>28</v>
      </c>
      <c r="G35" s="3" t="s">
        <v>33</v>
      </c>
      <c r="H35" s="3" t="s">
        <v>76</v>
      </c>
      <c r="I35" s="15" t="str">
        <f t="shared" si="1"/>
        <v>BMW</v>
      </c>
      <c r="J35" s="1" t="str">
        <f t="shared" si="2"/>
        <v>=LEFT(B35,FIND(" ",B35)-1)</v>
      </c>
    </row>
    <row r="36" ht="15.75" customHeight="1">
      <c r="B36" s="3" t="s">
        <v>21</v>
      </c>
      <c r="C36" s="3">
        <v>2019.0</v>
      </c>
      <c r="D36" s="3">
        <v>52034.0</v>
      </c>
      <c r="E36" s="3" t="s">
        <v>77</v>
      </c>
      <c r="F36" s="3" t="s">
        <v>23</v>
      </c>
      <c r="G36" s="3" t="s">
        <v>24</v>
      </c>
      <c r="H36" s="3" t="s">
        <v>78</v>
      </c>
      <c r="I36" s="15" t="str">
        <f t="shared" si="1"/>
        <v>BMW</v>
      </c>
      <c r="J36" s="1" t="str">
        <f t="shared" si="2"/>
        <v>=LEFT(B36,FIND(" ",B36)-1)</v>
      </c>
    </row>
    <row r="37" ht="15.75" customHeight="1">
      <c r="B37" s="3" t="s">
        <v>44</v>
      </c>
      <c r="C37" s="3">
        <v>2011.0</v>
      </c>
      <c r="D37" s="3">
        <v>205204.0</v>
      </c>
      <c r="E37" s="3" t="s">
        <v>27</v>
      </c>
      <c r="F37" s="3" t="s">
        <v>23</v>
      </c>
      <c r="G37" s="3" t="s">
        <v>29</v>
      </c>
      <c r="H37" s="3" t="s">
        <v>79</v>
      </c>
      <c r="I37" s="15" t="str">
        <f t="shared" si="1"/>
        <v>BMW</v>
      </c>
      <c r="J37" s="1" t="str">
        <f t="shared" si="2"/>
        <v>=LEFT(B37,FIND(" ",B37)-1)</v>
      </c>
    </row>
    <row r="38" ht="15.75" customHeight="1">
      <c r="B38" s="3" t="s">
        <v>30</v>
      </c>
      <c r="C38" s="3">
        <v>2014.0</v>
      </c>
      <c r="D38" s="3">
        <v>152985.0</v>
      </c>
      <c r="E38" s="3" t="s">
        <v>32</v>
      </c>
      <c r="F38" s="3" t="s">
        <v>23</v>
      </c>
      <c r="G38" s="3" t="s">
        <v>29</v>
      </c>
      <c r="H38" s="3" t="s">
        <v>80</v>
      </c>
      <c r="I38" s="15" t="str">
        <f t="shared" si="1"/>
        <v>Mercedes</v>
      </c>
      <c r="J38" s="1" t="str">
        <f t="shared" si="2"/>
        <v>=LEFT(B38,FIND(" ",B38)-1)</v>
      </c>
    </row>
    <row r="39" ht="15.75" customHeight="1">
      <c r="B39" s="3" t="s">
        <v>45</v>
      </c>
      <c r="C39" s="3">
        <v>2018.0</v>
      </c>
      <c r="D39" s="3">
        <v>76429.0</v>
      </c>
      <c r="E39" s="3" t="s">
        <v>39</v>
      </c>
      <c r="F39" s="3" t="s">
        <v>23</v>
      </c>
      <c r="G39" s="3" t="s">
        <v>24</v>
      </c>
      <c r="H39" s="3" t="s">
        <v>81</v>
      </c>
      <c r="I39" s="15" t="str">
        <f t="shared" si="1"/>
        <v>Tesla</v>
      </c>
      <c r="J39" s="1" t="str">
        <f t="shared" si="2"/>
        <v>=LEFT(B39,FIND(" ",B39)-1)</v>
      </c>
    </row>
    <row r="40" ht="15.75" customHeight="1">
      <c r="B40" s="3" t="s">
        <v>46</v>
      </c>
      <c r="C40" s="3">
        <v>2013.0</v>
      </c>
      <c r="D40" s="3">
        <v>254028.0</v>
      </c>
      <c r="E40" s="3" t="s">
        <v>82</v>
      </c>
      <c r="F40" s="3" t="s">
        <v>28</v>
      </c>
      <c r="G40" s="3" t="s">
        <v>29</v>
      </c>
      <c r="H40" s="3" t="s">
        <v>83</v>
      </c>
      <c r="I40" s="15" t="str">
        <f t="shared" si="1"/>
        <v>Volvo</v>
      </c>
      <c r="J40" s="1" t="str">
        <f t="shared" si="2"/>
        <v>=LEFT(B40,FIND(" ",B40)-1)</v>
      </c>
    </row>
    <row r="41" ht="15.75" customHeight="1">
      <c r="B41" s="3" t="s">
        <v>47</v>
      </c>
      <c r="C41" s="3">
        <v>2014.0</v>
      </c>
      <c r="D41" s="3">
        <v>45832.0</v>
      </c>
      <c r="E41" s="3" t="s">
        <v>22</v>
      </c>
      <c r="F41" s="3" t="s">
        <v>28</v>
      </c>
      <c r="G41" s="3" t="s">
        <v>24</v>
      </c>
      <c r="H41" s="3" t="s">
        <v>84</v>
      </c>
      <c r="I41" s="15" t="str">
        <f t="shared" si="1"/>
        <v>Audi</v>
      </c>
      <c r="J41" s="1" t="str">
        <f t="shared" si="2"/>
        <v>=LEFT(B41,FIND(" ",B41)-1)</v>
      </c>
    </row>
    <row r="42" ht="15.75" customHeight="1">
      <c r="B42" s="3" t="s">
        <v>48</v>
      </c>
      <c r="C42" s="3">
        <v>2018.0</v>
      </c>
      <c r="D42" s="3">
        <v>67591.0</v>
      </c>
      <c r="E42" s="3" t="s">
        <v>35</v>
      </c>
      <c r="F42" s="3" t="s">
        <v>23</v>
      </c>
      <c r="G42" s="3" t="s">
        <v>29</v>
      </c>
      <c r="H42" s="3" t="s">
        <v>85</v>
      </c>
      <c r="I42" s="15" t="str">
        <f t="shared" si="1"/>
        <v>Cadillac</v>
      </c>
      <c r="J42" s="1" t="str">
        <f t="shared" si="2"/>
        <v>=LEFT(B42,FIND(" ",B42)-1)</v>
      </c>
    </row>
    <row r="43" ht="15.75" customHeight="1">
      <c r="B43" s="3" t="s">
        <v>49</v>
      </c>
      <c r="C43" s="3">
        <v>2013.0</v>
      </c>
      <c r="D43" s="3">
        <v>85320.0</v>
      </c>
      <c r="E43" s="3" t="s">
        <v>22</v>
      </c>
      <c r="F43" s="3" t="s">
        <v>23</v>
      </c>
      <c r="G43" s="3" t="s">
        <v>29</v>
      </c>
      <c r="H43" s="3" t="s">
        <v>86</v>
      </c>
      <c r="I43" s="15" t="str">
        <f t="shared" si="1"/>
        <v>Jaguar</v>
      </c>
      <c r="J43" s="1" t="str">
        <f t="shared" si="2"/>
        <v>=LEFT(B43,FIND(" ",B43)-1)</v>
      </c>
    </row>
    <row r="44" ht="15.75" customHeight="1">
      <c r="B44" s="3" t="s">
        <v>40</v>
      </c>
      <c r="C44" s="3">
        <v>2016.0</v>
      </c>
      <c r="D44" s="3">
        <v>5000.0</v>
      </c>
      <c r="E44" s="3" t="s">
        <v>22</v>
      </c>
      <c r="F44" s="3" t="s">
        <v>23</v>
      </c>
      <c r="G44" s="3" t="s">
        <v>24</v>
      </c>
      <c r="H44" s="3" t="s">
        <v>87</v>
      </c>
      <c r="I44" s="15" t="str">
        <f t="shared" si="1"/>
        <v>Lexus</v>
      </c>
      <c r="J44" s="1" t="str">
        <f t="shared" si="2"/>
        <v>=LEFT(B44,FIND(" ",B44)-1)</v>
      </c>
    </row>
    <row r="45" ht="15.75" customHeight="1">
      <c r="B45" s="3" t="s">
        <v>50</v>
      </c>
      <c r="C45" s="3">
        <v>2017.0</v>
      </c>
      <c r="D45" s="3">
        <v>92450.0</v>
      </c>
      <c r="E45" s="3" t="s">
        <v>27</v>
      </c>
      <c r="F45" s="3" t="s">
        <v>28</v>
      </c>
      <c r="G45" s="3" t="s">
        <v>29</v>
      </c>
      <c r="H45" s="3" t="s">
        <v>88</v>
      </c>
      <c r="I45" s="15" t="str">
        <f t="shared" si="1"/>
        <v>BMW</v>
      </c>
      <c r="J45" s="1" t="str">
        <f t="shared" si="2"/>
        <v>=LEFT(B45,FIND(" ",B45)-1)</v>
      </c>
    </row>
    <row r="46" ht="15.75" customHeight="1">
      <c r="B46" s="3" t="s">
        <v>40</v>
      </c>
      <c r="C46" s="3">
        <v>2015.0</v>
      </c>
      <c r="D46" s="3">
        <v>130000.0</v>
      </c>
      <c r="E46" s="3" t="s">
        <v>32</v>
      </c>
      <c r="F46" s="3" t="s">
        <v>23</v>
      </c>
      <c r="G46" s="3" t="s">
        <v>36</v>
      </c>
      <c r="H46" s="3" t="s">
        <v>89</v>
      </c>
      <c r="I46" s="15" t="str">
        <f t="shared" si="1"/>
        <v>Lexus</v>
      </c>
      <c r="J46" s="1" t="str">
        <f t="shared" si="2"/>
        <v>=LEFT(B46,FIND(" ",B46)-1)</v>
      </c>
    </row>
    <row r="47" ht="15.75" customHeight="1"/>
    <row r="48" ht="15.75" customHeight="1">
      <c r="B48" s="3" t="s">
        <v>93</v>
      </c>
    </row>
    <row r="49" ht="15.75" customHeight="1">
      <c r="B49" s="16" t="s">
        <v>94</v>
      </c>
    </row>
    <row r="50" ht="15.75" customHeight="1">
      <c r="B50" s="16"/>
    </row>
    <row r="51" ht="15.75" customHeight="1">
      <c r="B51" s="4" t="s">
        <v>95</v>
      </c>
    </row>
    <row r="52" ht="15.75" customHeight="1">
      <c r="B52" s="4" t="s">
        <v>96</v>
      </c>
    </row>
    <row r="53" ht="15.75" customHeight="1"/>
    <row r="54" ht="15.75" customHeight="1">
      <c r="B54" s="3" t="s">
        <v>97</v>
      </c>
    </row>
    <row r="55" ht="15.75" customHeight="1">
      <c r="B55" s="3" t="s">
        <v>98</v>
      </c>
    </row>
    <row r="56" ht="15.75" customHeight="1"/>
    <row r="57" ht="15.75" customHeight="1">
      <c r="B57" s="1" t="s">
        <v>8</v>
      </c>
      <c r="C57" s="1" t="s">
        <v>99</v>
      </c>
    </row>
    <row r="58" ht="15.75" customHeight="1">
      <c r="B58" s="3" t="str">
        <f t="array" ref="B58:B65">UNIQUE(I29:I46)</f>
        <v>BMW</v>
      </c>
      <c r="C58" s="3">
        <f t="shared" ref="C58:C65" si="3">COUNTIF($I$29:$I$46,B58)</f>
        <v>7</v>
      </c>
    </row>
    <row r="59" ht="15.75" customHeight="1">
      <c r="B59" s="3" t="s">
        <v>26</v>
      </c>
      <c r="C59" s="3">
        <f t="shared" si="3"/>
        <v>2</v>
      </c>
    </row>
    <row r="60" ht="15.75" customHeight="1">
      <c r="B60" s="3" t="s">
        <v>31</v>
      </c>
      <c r="C60" s="3">
        <f t="shared" si="3"/>
        <v>2</v>
      </c>
    </row>
    <row r="61" ht="15.75" customHeight="1">
      <c r="B61" s="3" t="s">
        <v>34</v>
      </c>
      <c r="C61" s="3">
        <f t="shared" si="3"/>
        <v>3</v>
      </c>
    </row>
    <row r="62" ht="15.75" customHeight="1">
      <c r="B62" s="3" t="s">
        <v>38</v>
      </c>
      <c r="C62" s="3">
        <f t="shared" si="3"/>
        <v>1</v>
      </c>
    </row>
    <row r="63" ht="15.75" customHeight="1">
      <c r="B63" s="3" t="s">
        <v>41</v>
      </c>
      <c r="C63" s="3">
        <f t="shared" si="3"/>
        <v>1</v>
      </c>
    </row>
    <row r="64" ht="15.75" customHeight="1">
      <c r="B64" s="3" t="s">
        <v>42</v>
      </c>
      <c r="C64" s="3">
        <f t="shared" si="3"/>
        <v>1</v>
      </c>
    </row>
    <row r="65" ht="15.75" customHeight="1">
      <c r="B65" s="3" t="s">
        <v>43</v>
      </c>
      <c r="C65" s="3">
        <f t="shared" si="3"/>
        <v>1</v>
      </c>
    </row>
    <row r="66" ht="15.75" customHeight="1"/>
    <row r="67" ht="15.75" customHeight="1">
      <c r="B67" s="3" t="s">
        <v>100</v>
      </c>
    </row>
    <row r="68" ht="15.75" customHeight="1"/>
    <row r="69" ht="15.75" customHeight="1">
      <c r="B69" s="3" t="s">
        <v>8</v>
      </c>
    </row>
    <row r="70" ht="15.75" customHeight="1">
      <c r="B70" s="15" t="str">
        <f t="array" ref="B70:B77">UNIQUE(I29:I46)</f>
        <v>BMW</v>
      </c>
      <c r="C70" s="1" t="str">
        <f>FORMULATEXT(B70)</f>
        <v>=ARRAY_CONSTRAIN(ARRAYFORMULA(UNIQUE(I29:I46)), 8, 1)</v>
      </c>
    </row>
    <row r="71" ht="15.75" customHeight="1">
      <c r="B71" s="15" t="s">
        <v>26</v>
      </c>
    </row>
    <row r="72" ht="15.75" customHeight="1">
      <c r="B72" s="15" t="s">
        <v>31</v>
      </c>
    </row>
    <row r="73" ht="15.75" customHeight="1">
      <c r="B73" s="15" t="s">
        <v>34</v>
      </c>
    </row>
    <row r="74" ht="15.75" customHeight="1">
      <c r="B74" s="15" t="s">
        <v>38</v>
      </c>
    </row>
    <row r="75" ht="15.75" customHeight="1">
      <c r="B75" s="15" t="s">
        <v>41</v>
      </c>
    </row>
    <row r="76" ht="15.75" customHeight="1">
      <c r="B76" s="15" t="s">
        <v>42</v>
      </c>
    </row>
    <row r="77" ht="15.75" customHeight="1">
      <c r="B77" s="15" t="s">
        <v>43</v>
      </c>
    </row>
    <row r="78" ht="15.75" customHeight="1"/>
    <row r="79" ht="15.75" customHeight="1">
      <c r="B79" s="3" t="s">
        <v>101</v>
      </c>
    </row>
    <row r="80" ht="15.75" customHeight="1">
      <c r="B80" s="3" t="s">
        <v>102</v>
      </c>
    </row>
    <row r="81" ht="15.75" customHeight="1"/>
    <row r="82" ht="15.75" customHeight="1">
      <c r="B82" s="4" t="s">
        <v>103</v>
      </c>
    </row>
    <row r="83" ht="15.75" customHeight="1">
      <c r="B83" s="4"/>
    </row>
    <row r="84" ht="15.75" customHeight="1">
      <c r="B84" s="17" t="s">
        <v>104</v>
      </c>
    </row>
    <row r="85" ht="15.75" customHeight="1">
      <c r="B85" s="4" t="s">
        <v>105</v>
      </c>
    </row>
    <row r="86" ht="15.75" customHeight="1">
      <c r="B86" s="4"/>
    </row>
    <row r="87" ht="15.75" customHeight="1">
      <c r="B87" s="3" t="s">
        <v>106</v>
      </c>
    </row>
    <row r="88" ht="15.75" customHeight="1"/>
    <row r="89" ht="15.75" customHeight="1">
      <c r="B89" s="3" t="s">
        <v>8</v>
      </c>
      <c r="C89" s="3" t="s">
        <v>99</v>
      </c>
    </row>
    <row r="90" ht="15.75" customHeight="1">
      <c r="B90" s="3" t="str">
        <f t="array" ref="B90:B97">UNIQUE(I29:I46)</f>
        <v>BMW</v>
      </c>
      <c r="C90" s="18">
        <f t="shared" ref="C90:C97" si="4">COUNTIF($I$29:$I$46,B90)</f>
        <v>7</v>
      </c>
      <c r="D90" s="1" t="str">
        <f t="shared" ref="D90:D97" si="5">FORMULATEXT(C90)</f>
        <v>=COUNTIF($I$29:$I$46,B90)</v>
      </c>
    </row>
    <row r="91" ht="15.75" customHeight="1">
      <c r="B91" s="3" t="s">
        <v>26</v>
      </c>
      <c r="C91" s="18">
        <f t="shared" si="4"/>
        <v>2</v>
      </c>
      <c r="D91" s="1" t="str">
        <f t="shared" si="5"/>
        <v>=COUNTIF($I$29:$I$46,B91)</v>
      </c>
    </row>
    <row r="92" ht="15.75" customHeight="1">
      <c r="B92" s="3" t="s">
        <v>31</v>
      </c>
      <c r="C92" s="18">
        <f t="shared" si="4"/>
        <v>2</v>
      </c>
      <c r="D92" s="1" t="str">
        <f t="shared" si="5"/>
        <v>=COUNTIF($I$29:$I$46,B92)</v>
      </c>
    </row>
    <row r="93" ht="15.75" customHeight="1">
      <c r="B93" s="3" t="s">
        <v>34</v>
      </c>
      <c r="C93" s="18">
        <f t="shared" si="4"/>
        <v>3</v>
      </c>
      <c r="D93" s="1" t="str">
        <f t="shared" si="5"/>
        <v>=COUNTIF($I$29:$I$46,B93)</v>
      </c>
    </row>
    <row r="94" ht="15.75" customHeight="1">
      <c r="B94" s="3" t="s">
        <v>38</v>
      </c>
      <c r="C94" s="18">
        <f t="shared" si="4"/>
        <v>1</v>
      </c>
      <c r="D94" s="1" t="str">
        <f t="shared" si="5"/>
        <v>=COUNTIF($I$29:$I$46,B94)</v>
      </c>
    </row>
    <row r="95" ht="15.75" customHeight="1">
      <c r="B95" s="3" t="s">
        <v>41</v>
      </c>
      <c r="C95" s="18">
        <f t="shared" si="4"/>
        <v>1</v>
      </c>
      <c r="D95" s="1" t="str">
        <f t="shared" si="5"/>
        <v>=COUNTIF($I$29:$I$46,B95)</v>
      </c>
    </row>
    <row r="96" ht="15.75" customHeight="1">
      <c r="B96" s="3" t="s">
        <v>42</v>
      </c>
      <c r="C96" s="18">
        <f t="shared" si="4"/>
        <v>1</v>
      </c>
      <c r="D96" s="1" t="str">
        <f t="shared" si="5"/>
        <v>=COUNTIF($I$29:$I$46,B96)</v>
      </c>
    </row>
    <row r="97" ht="15.75" customHeight="1">
      <c r="B97" s="3" t="s">
        <v>43</v>
      </c>
      <c r="C97" s="18">
        <f t="shared" si="4"/>
        <v>1</v>
      </c>
      <c r="D97" s="1" t="str">
        <f t="shared" si="5"/>
        <v>=COUNTIF($I$29:$I$46,B97)</v>
      </c>
    </row>
    <row r="98" ht="15.75" customHeight="1"/>
    <row r="99" ht="15.75" customHeight="1">
      <c r="B99" s="3" t="s">
        <v>107</v>
      </c>
    </row>
    <row r="100" ht="15.75" customHeight="1"/>
    <row r="101" ht="15.75" customHeight="1">
      <c r="B101" s="4" t="s">
        <v>108</v>
      </c>
    </row>
    <row r="102" ht="15.75" customHeight="1">
      <c r="B102" s="4" t="s">
        <v>109</v>
      </c>
    </row>
    <row r="103" ht="15.75" customHeight="1">
      <c r="B103" s="4"/>
    </row>
    <row r="104" ht="15.75" customHeight="1">
      <c r="A104" s="3">
        <v>2.0</v>
      </c>
      <c r="B104" s="3" t="s">
        <v>4</v>
      </c>
    </row>
    <row r="105" ht="15.75" customHeight="1"/>
    <row r="106" ht="15.75" customHeight="1">
      <c r="B106" s="3" t="s">
        <v>110</v>
      </c>
    </row>
    <row r="107" ht="15.75" customHeight="1">
      <c r="B107" s="3" t="s">
        <v>111</v>
      </c>
    </row>
    <row r="108" ht="15.75" customHeight="1">
      <c r="B108" s="3" t="s">
        <v>112</v>
      </c>
    </row>
    <row r="109" ht="15.75" customHeight="1"/>
    <row r="110" ht="15.75" customHeight="1">
      <c r="B110" s="1" t="s">
        <v>7</v>
      </c>
      <c r="C110" s="1" t="s">
        <v>11</v>
      </c>
      <c r="D110" s="1" t="s">
        <v>12</v>
      </c>
      <c r="E110" s="1" t="s">
        <v>13</v>
      </c>
      <c r="F110" s="1" t="s">
        <v>16</v>
      </c>
      <c r="G110" s="1" t="s">
        <v>17</v>
      </c>
      <c r="H110" s="1" t="s">
        <v>18</v>
      </c>
      <c r="I110" s="1" t="s">
        <v>8</v>
      </c>
      <c r="J110" s="1" t="s">
        <v>61</v>
      </c>
    </row>
    <row r="111" ht="15.75" customHeight="1">
      <c r="B111" s="3" t="s">
        <v>21</v>
      </c>
      <c r="C111" s="3">
        <v>2012.0</v>
      </c>
      <c r="D111" s="3">
        <v>342358.0</v>
      </c>
      <c r="E111" s="3" t="s">
        <v>22</v>
      </c>
      <c r="F111" s="3" t="s">
        <v>23</v>
      </c>
      <c r="G111" s="3" t="s">
        <v>24</v>
      </c>
      <c r="H111" s="3" t="s">
        <v>70</v>
      </c>
      <c r="I111" s="3" t="str">
        <f t="shared" ref="I111:I128" si="6">LEFT(B111,FIND(" ",B111)-1)</f>
        <v>BMW</v>
      </c>
      <c r="J111" s="15" t="str">
        <f t="array" ref="J111">XLOOKUP(I111,'Manufacturing country'!A:A,'Manufacturing country'!B:B)</f>
        <v>Germany</v>
      </c>
      <c r="K111" s="1" t="str">
        <f t="shared" ref="K111:K128" si="7">FORMULATEXT(J111)</f>
        <v>=XLOOKUP(I111,'Manufacturing country'!A:A,'Manufacturing country'!B:B)</v>
      </c>
    </row>
    <row r="112" ht="15.75" customHeight="1">
      <c r="B112" s="3" t="s">
        <v>25</v>
      </c>
      <c r="C112" s="3">
        <v>2017.0</v>
      </c>
      <c r="D112" s="3">
        <v>130000.0</v>
      </c>
      <c r="E112" s="3" t="s">
        <v>27</v>
      </c>
      <c r="F112" s="3" t="s">
        <v>28</v>
      </c>
      <c r="G112" s="3" t="s">
        <v>29</v>
      </c>
      <c r="H112" s="3" t="s">
        <v>71</v>
      </c>
      <c r="I112" s="3" t="str">
        <f t="shared" si="6"/>
        <v>Audi</v>
      </c>
      <c r="J112" s="15" t="str">
        <f t="array" ref="J112">XLOOKUP(I112,'Manufacturing country'!A:A,'Manufacturing country'!B:B)</f>
        <v>Germany</v>
      </c>
      <c r="K112" s="1" t="str">
        <f t="shared" si="7"/>
        <v>=XLOOKUP(I112,'Manufacturing country'!A:A,'Manufacturing country'!B:B)</v>
      </c>
    </row>
    <row r="113" ht="15.75" customHeight="1">
      <c r="B113" s="3" t="s">
        <v>30</v>
      </c>
      <c r="C113" s="3">
        <v>2020.0</v>
      </c>
      <c r="D113" s="3">
        <v>92450.0</v>
      </c>
      <c r="E113" s="3" t="s">
        <v>32</v>
      </c>
      <c r="F113" s="3" t="s">
        <v>23</v>
      </c>
      <c r="G113" s="3" t="s">
        <v>33</v>
      </c>
      <c r="H113" s="3" t="s">
        <v>72</v>
      </c>
      <c r="I113" s="3" t="str">
        <f t="shared" si="6"/>
        <v>Mercedes</v>
      </c>
      <c r="J113" s="15" t="str">
        <f t="array" ref="J113">XLOOKUP(I113,'Manufacturing country'!A:A,'Manufacturing country'!B:B)</f>
        <v>Germany</v>
      </c>
      <c r="K113" s="1" t="str">
        <f t="shared" si="7"/>
        <v>=XLOOKUP(I113,'Manufacturing country'!A:A,'Manufacturing country'!B:B)</v>
      </c>
    </row>
    <row r="114" ht="15.75" customHeight="1">
      <c r="B114" s="3" t="s">
        <v>21</v>
      </c>
      <c r="C114" s="3">
        <v>2020.0</v>
      </c>
      <c r="D114" s="3">
        <v>76240.0</v>
      </c>
      <c r="E114" s="3" t="s">
        <v>22</v>
      </c>
      <c r="F114" s="3" t="s">
        <v>23</v>
      </c>
      <c r="G114" s="3" t="s">
        <v>29</v>
      </c>
      <c r="H114" s="3" t="s">
        <v>73</v>
      </c>
      <c r="I114" s="3" t="str">
        <f t="shared" si="6"/>
        <v>BMW</v>
      </c>
      <c r="J114" s="15" t="str">
        <f t="array" ref="J114">XLOOKUP(I114,'Manufacturing country'!A:A,'Manufacturing country'!B:B)</f>
        <v>Germany</v>
      </c>
      <c r="K114" s="1" t="str">
        <f t="shared" si="7"/>
        <v>=XLOOKUP(I114,'Manufacturing country'!A:A,'Manufacturing country'!B:B)</v>
      </c>
    </row>
    <row r="115" ht="15.75" customHeight="1">
      <c r="B115" s="3" t="s">
        <v>37</v>
      </c>
      <c r="C115" s="3">
        <v>2021.0</v>
      </c>
      <c r="D115" s="3">
        <v>17283.0</v>
      </c>
      <c r="E115" s="3" t="s">
        <v>22</v>
      </c>
      <c r="F115" s="3" t="s">
        <v>28</v>
      </c>
      <c r="G115" s="3" t="s">
        <v>24</v>
      </c>
      <c r="H115" s="3" t="s">
        <v>74</v>
      </c>
      <c r="I115" s="3" t="str">
        <f t="shared" si="6"/>
        <v>BMW</v>
      </c>
      <c r="J115" s="15" t="str">
        <f t="array" ref="J115">XLOOKUP(I115,'Manufacturing country'!A:A,'Manufacturing country'!B:B)</f>
        <v>Germany</v>
      </c>
      <c r="K115" s="1" t="str">
        <f t="shared" si="7"/>
        <v>=XLOOKUP(I115,'Manufacturing country'!A:A,'Manufacturing country'!B:B)</v>
      </c>
    </row>
    <row r="116" ht="15.75" customHeight="1">
      <c r="B116" s="3" t="s">
        <v>40</v>
      </c>
      <c r="C116" s="3">
        <v>2020.0</v>
      </c>
      <c r="D116" s="3">
        <v>98312.0</v>
      </c>
      <c r="E116" s="3" t="s">
        <v>27</v>
      </c>
      <c r="F116" s="3" t="s">
        <v>23</v>
      </c>
      <c r="G116" s="3" t="s">
        <v>33</v>
      </c>
      <c r="H116" s="3" t="s">
        <v>75</v>
      </c>
      <c r="I116" s="3" t="str">
        <f t="shared" si="6"/>
        <v>Lexus</v>
      </c>
      <c r="J116" s="15" t="str">
        <f t="array" ref="J116">XLOOKUP(I116,'Manufacturing country'!A:A,'Manufacturing country'!B:B)</f>
        <v>Japan</v>
      </c>
      <c r="K116" s="1" t="str">
        <f t="shared" si="7"/>
        <v>=XLOOKUP(I116,'Manufacturing country'!A:A,'Manufacturing country'!B:B)</v>
      </c>
    </row>
    <row r="117" ht="15.75" customHeight="1">
      <c r="B117" s="3" t="s">
        <v>37</v>
      </c>
      <c r="C117" s="3">
        <v>2018.0</v>
      </c>
      <c r="D117" s="3">
        <v>156784.0</v>
      </c>
      <c r="E117" s="3" t="s">
        <v>35</v>
      </c>
      <c r="F117" s="3" t="s">
        <v>28</v>
      </c>
      <c r="G117" s="3" t="s">
        <v>33</v>
      </c>
      <c r="H117" s="3" t="s">
        <v>76</v>
      </c>
      <c r="I117" s="3" t="str">
        <f t="shared" si="6"/>
        <v>BMW</v>
      </c>
      <c r="J117" s="15" t="str">
        <f t="array" ref="J117">XLOOKUP(I117,'Manufacturing country'!A:A,'Manufacturing country'!B:B)</f>
        <v>Germany</v>
      </c>
      <c r="K117" s="1" t="str">
        <f t="shared" si="7"/>
        <v>=XLOOKUP(I117,'Manufacturing country'!A:A,'Manufacturing country'!B:B)</v>
      </c>
    </row>
    <row r="118" ht="15.75" customHeight="1">
      <c r="B118" s="3" t="s">
        <v>21</v>
      </c>
      <c r="C118" s="3">
        <v>2019.0</v>
      </c>
      <c r="D118" s="3">
        <v>52034.0</v>
      </c>
      <c r="E118" s="3" t="s">
        <v>77</v>
      </c>
      <c r="F118" s="3" t="s">
        <v>23</v>
      </c>
      <c r="G118" s="3" t="s">
        <v>24</v>
      </c>
      <c r="H118" s="3" t="s">
        <v>78</v>
      </c>
      <c r="I118" s="3" t="str">
        <f t="shared" si="6"/>
        <v>BMW</v>
      </c>
      <c r="J118" s="15" t="str">
        <f t="array" ref="J118">XLOOKUP(I118,'Manufacturing country'!A:A,'Manufacturing country'!B:B)</f>
        <v>Germany</v>
      </c>
      <c r="K118" s="1" t="str">
        <f t="shared" si="7"/>
        <v>=XLOOKUP(I118,'Manufacturing country'!A:A,'Manufacturing country'!B:B)</v>
      </c>
    </row>
    <row r="119" ht="15.75" customHeight="1">
      <c r="B119" s="3" t="s">
        <v>44</v>
      </c>
      <c r="C119" s="3">
        <v>2011.0</v>
      </c>
      <c r="D119" s="3">
        <v>205204.0</v>
      </c>
      <c r="E119" s="3" t="s">
        <v>27</v>
      </c>
      <c r="F119" s="3" t="s">
        <v>23</v>
      </c>
      <c r="G119" s="3" t="s">
        <v>29</v>
      </c>
      <c r="H119" s="3" t="s">
        <v>79</v>
      </c>
      <c r="I119" s="3" t="str">
        <f t="shared" si="6"/>
        <v>BMW</v>
      </c>
      <c r="J119" s="15" t="str">
        <f t="array" ref="J119">XLOOKUP(I119,'Manufacturing country'!A:A,'Manufacturing country'!B:B)</f>
        <v>Germany</v>
      </c>
      <c r="K119" s="1" t="str">
        <f t="shared" si="7"/>
        <v>=XLOOKUP(I119,'Manufacturing country'!A:A,'Manufacturing country'!B:B)</v>
      </c>
    </row>
    <row r="120" ht="15.75" customHeight="1">
      <c r="B120" s="3" t="s">
        <v>30</v>
      </c>
      <c r="C120" s="3">
        <v>2014.0</v>
      </c>
      <c r="D120" s="3">
        <v>152985.0</v>
      </c>
      <c r="E120" s="3" t="s">
        <v>32</v>
      </c>
      <c r="F120" s="3" t="s">
        <v>23</v>
      </c>
      <c r="G120" s="3" t="s">
        <v>29</v>
      </c>
      <c r="H120" s="3" t="s">
        <v>80</v>
      </c>
      <c r="I120" s="3" t="str">
        <f t="shared" si="6"/>
        <v>Mercedes</v>
      </c>
      <c r="J120" s="15" t="str">
        <f t="array" ref="J120">XLOOKUP(I120,'Manufacturing country'!A:A,'Manufacturing country'!B:B)</f>
        <v>Germany</v>
      </c>
      <c r="K120" s="1" t="str">
        <f t="shared" si="7"/>
        <v>=XLOOKUP(I120,'Manufacturing country'!A:A,'Manufacturing country'!B:B)</v>
      </c>
    </row>
    <row r="121" ht="15.75" customHeight="1">
      <c r="B121" s="3" t="s">
        <v>45</v>
      </c>
      <c r="C121" s="3">
        <v>2018.0</v>
      </c>
      <c r="D121" s="3">
        <v>76429.0</v>
      </c>
      <c r="E121" s="3" t="s">
        <v>39</v>
      </c>
      <c r="F121" s="3" t="s">
        <v>23</v>
      </c>
      <c r="G121" s="3" t="s">
        <v>24</v>
      </c>
      <c r="H121" s="3" t="s">
        <v>81</v>
      </c>
      <c r="I121" s="3" t="str">
        <f t="shared" si="6"/>
        <v>Tesla</v>
      </c>
      <c r="J121" s="15" t="str">
        <f t="array" ref="J121">XLOOKUP(I121,'Manufacturing country'!A:A,'Manufacturing country'!B:B)</f>
        <v>USA</v>
      </c>
      <c r="K121" s="1" t="str">
        <f t="shared" si="7"/>
        <v>=XLOOKUP(I121,'Manufacturing country'!A:A,'Manufacturing country'!B:B)</v>
      </c>
    </row>
    <row r="122" ht="15.75" customHeight="1">
      <c r="B122" s="3" t="s">
        <v>46</v>
      </c>
      <c r="C122" s="3">
        <v>2013.0</v>
      </c>
      <c r="D122" s="3">
        <v>254028.0</v>
      </c>
      <c r="E122" s="3" t="s">
        <v>82</v>
      </c>
      <c r="F122" s="3" t="s">
        <v>28</v>
      </c>
      <c r="G122" s="3" t="s">
        <v>29</v>
      </c>
      <c r="H122" s="3" t="s">
        <v>83</v>
      </c>
      <c r="I122" s="3" t="str">
        <f t="shared" si="6"/>
        <v>Volvo</v>
      </c>
      <c r="J122" s="15" t="str">
        <f t="array" ref="J122">XLOOKUP(I122,'Manufacturing country'!A:A,'Manufacturing country'!B:B)</f>
        <v>Sweden</v>
      </c>
      <c r="K122" s="1" t="str">
        <f t="shared" si="7"/>
        <v>=XLOOKUP(I122,'Manufacturing country'!A:A,'Manufacturing country'!B:B)</v>
      </c>
    </row>
    <row r="123" ht="15.75" customHeight="1">
      <c r="B123" s="3" t="s">
        <v>47</v>
      </c>
      <c r="C123" s="3">
        <v>2014.0</v>
      </c>
      <c r="D123" s="3">
        <v>45832.0</v>
      </c>
      <c r="E123" s="3" t="s">
        <v>22</v>
      </c>
      <c r="F123" s="3" t="s">
        <v>28</v>
      </c>
      <c r="G123" s="3" t="s">
        <v>24</v>
      </c>
      <c r="H123" s="3" t="s">
        <v>84</v>
      </c>
      <c r="I123" s="3" t="str">
        <f t="shared" si="6"/>
        <v>Audi</v>
      </c>
      <c r="J123" s="15" t="str">
        <f t="array" ref="J123">XLOOKUP(I123,'Manufacturing country'!A:A,'Manufacturing country'!B:B)</f>
        <v>Germany</v>
      </c>
      <c r="K123" s="1" t="str">
        <f t="shared" si="7"/>
        <v>=XLOOKUP(I123,'Manufacturing country'!A:A,'Manufacturing country'!B:B)</v>
      </c>
    </row>
    <row r="124" ht="15.75" customHeight="1">
      <c r="B124" s="3" t="s">
        <v>48</v>
      </c>
      <c r="C124" s="3">
        <v>2018.0</v>
      </c>
      <c r="D124" s="3">
        <v>67591.0</v>
      </c>
      <c r="E124" s="3" t="s">
        <v>35</v>
      </c>
      <c r="F124" s="3" t="s">
        <v>23</v>
      </c>
      <c r="G124" s="3" t="s">
        <v>29</v>
      </c>
      <c r="H124" s="3" t="s">
        <v>85</v>
      </c>
      <c r="I124" s="3" t="str">
        <f t="shared" si="6"/>
        <v>Cadillac</v>
      </c>
      <c r="J124" s="15" t="str">
        <f t="array" ref="J124">XLOOKUP(I124,'Manufacturing country'!A:A,'Manufacturing country'!B:B)</f>
        <v>USA</v>
      </c>
      <c r="K124" s="1" t="str">
        <f t="shared" si="7"/>
        <v>=XLOOKUP(I124,'Manufacturing country'!A:A,'Manufacturing country'!B:B)</v>
      </c>
    </row>
    <row r="125" ht="15.75" customHeight="1">
      <c r="B125" s="3" t="s">
        <v>49</v>
      </c>
      <c r="C125" s="3">
        <v>2013.0</v>
      </c>
      <c r="D125" s="3">
        <v>85320.0</v>
      </c>
      <c r="E125" s="3" t="s">
        <v>22</v>
      </c>
      <c r="F125" s="3" t="s">
        <v>23</v>
      </c>
      <c r="G125" s="3" t="s">
        <v>29</v>
      </c>
      <c r="H125" s="3" t="s">
        <v>86</v>
      </c>
      <c r="I125" s="3" t="str">
        <f t="shared" si="6"/>
        <v>Jaguar</v>
      </c>
      <c r="J125" s="15" t="str">
        <f t="array" ref="J125">XLOOKUP(I125,'Manufacturing country'!A:A,'Manufacturing country'!B:B)</f>
        <v>UK</v>
      </c>
      <c r="K125" s="1" t="str">
        <f t="shared" si="7"/>
        <v>=XLOOKUP(I125,'Manufacturing country'!A:A,'Manufacturing country'!B:B)</v>
      </c>
    </row>
    <row r="126" ht="15.75" customHeight="1">
      <c r="B126" s="3" t="s">
        <v>40</v>
      </c>
      <c r="C126" s="3">
        <v>2016.0</v>
      </c>
      <c r="D126" s="3">
        <v>5000.0</v>
      </c>
      <c r="E126" s="3" t="s">
        <v>22</v>
      </c>
      <c r="F126" s="3" t="s">
        <v>23</v>
      </c>
      <c r="G126" s="3" t="s">
        <v>24</v>
      </c>
      <c r="H126" s="3" t="s">
        <v>87</v>
      </c>
      <c r="I126" s="3" t="str">
        <f t="shared" si="6"/>
        <v>Lexus</v>
      </c>
      <c r="J126" s="15" t="str">
        <f t="array" ref="J126">XLOOKUP(I126,'Manufacturing country'!A:A,'Manufacturing country'!B:B)</f>
        <v>Japan</v>
      </c>
      <c r="K126" s="1" t="str">
        <f t="shared" si="7"/>
        <v>=XLOOKUP(I126,'Manufacturing country'!A:A,'Manufacturing country'!B:B)</v>
      </c>
    </row>
    <row r="127" ht="15.75" customHeight="1">
      <c r="B127" s="3" t="s">
        <v>50</v>
      </c>
      <c r="C127" s="3">
        <v>2017.0</v>
      </c>
      <c r="D127" s="3">
        <v>92450.0</v>
      </c>
      <c r="E127" s="3" t="s">
        <v>27</v>
      </c>
      <c r="F127" s="3" t="s">
        <v>28</v>
      </c>
      <c r="G127" s="3" t="s">
        <v>29</v>
      </c>
      <c r="H127" s="3" t="s">
        <v>88</v>
      </c>
      <c r="I127" s="3" t="str">
        <f t="shared" si="6"/>
        <v>BMW</v>
      </c>
      <c r="J127" s="15" t="str">
        <f t="array" ref="J127">XLOOKUP(I127,'Manufacturing country'!A:A,'Manufacturing country'!B:B)</f>
        <v>Germany</v>
      </c>
      <c r="K127" s="1" t="str">
        <f t="shared" si="7"/>
        <v>=XLOOKUP(I127,'Manufacturing country'!A:A,'Manufacturing country'!B:B)</v>
      </c>
    </row>
    <row r="128" ht="15.75" customHeight="1">
      <c r="B128" s="3" t="s">
        <v>40</v>
      </c>
      <c r="C128" s="3">
        <v>2015.0</v>
      </c>
      <c r="D128" s="3">
        <v>130000.0</v>
      </c>
      <c r="E128" s="3" t="s">
        <v>32</v>
      </c>
      <c r="F128" s="3" t="s">
        <v>23</v>
      </c>
      <c r="G128" s="3" t="s">
        <v>36</v>
      </c>
      <c r="H128" s="3" t="s">
        <v>89</v>
      </c>
      <c r="I128" s="3" t="str">
        <f t="shared" si="6"/>
        <v>Lexus</v>
      </c>
      <c r="J128" s="15" t="str">
        <f t="array" ref="J128">XLOOKUP(I128,'Manufacturing country'!A:A,'Manufacturing country'!B:B)</f>
        <v>Japan</v>
      </c>
      <c r="K128" s="1" t="str">
        <f t="shared" si="7"/>
        <v>=XLOOKUP(I128,'Manufacturing country'!A:A,'Manufacturing country'!B:B)</v>
      </c>
    </row>
    <row r="129" ht="15.75" customHeight="1"/>
    <row r="130" ht="15.75" customHeight="1">
      <c r="B130" s="4" t="s">
        <v>113</v>
      </c>
    </row>
    <row r="131" ht="15.75" customHeight="1">
      <c r="B131" s="17" t="s">
        <v>114</v>
      </c>
    </row>
    <row r="132" ht="15.75" customHeight="1">
      <c r="B132" s="17"/>
    </row>
    <row r="133" ht="15.75" customHeight="1">
      <c r="B133" s="17" t="s">
        <v>115</v>
      </c>
    </row>
    <row r="134" ht="15.75" customHeight="1">
      <c r="B134" s="17"/>
    </row>
    <row r="135" ht="15.75" customHeight="1">
      <c r="B135" s="1" t="s">
        <v>7</v>
      </c>
      <c r="C135" s="1" t="s">
        <v>11</v>
      </c>
      <c r="D135" s="1" t="s">
        <v>12</v>
      </c>
      <c r="E135" s="1" t="s">
        <v>13</v>
      </c>
      <c r="F135" s="1" t="s">
        <v>16</v>
      </c>
      <c r="G135" s="1" t="s">
        <v>17</v>
      </c>
      <c r="H135" s="1" t="s">
        <v>18</v>
      </c>
      <c r="I135" s="1" t="s">
        <v>8</v>
      </c>
      <c r="J135" s="1" t="s">
        <v>61</v>
      </c>
    </row>
    <row r="136" ht="15.75" customHeight="1">
      <c r="B136" s="3" t="s">
        <v>21</v>
      </c>
      <c r="C136" s="3">
        <v>2012.0</v>
      </c>
      <c r="D136" s="3">
        <v>342358.0</v>
      </c>
      <c r="E136" s="3" t="s">
        <v>22</v>
      </c>
      <c r="F136" s="3" t="s">
        <v>23</v>
      </c>
      <c r="G136" s="3" t="s">
        <v>24</v>
      </c>
      <c r="H136" s="3" t="s">
        <v>70</v>
      </c>
      <c r="I136" s="3" t="str">
        <f t="shared" ref="I136:I153" si="8">LEFT(B136,FIND(" ",B136)-1)</f>
        <v>BMW</v>
      </c>
      <c r="J136" s="15" t="str">
        <f>VLOOKUP(I136,'Manufacturing country'!A:B,2,0)</f>
        <v>Germany</v>
      </c>
      <c r="K136" s="1" t="str">
        <f t="shared" ref="K136:K153" si="9">FORMULATEXT(J136)</f>
        <v>=VLOOKUP(I136,'Manufacturing country'!A:B,2,0)</v>
      </c>
    </row>
    <row r="137" ht="15.75" customHeight="1">
      <c r="B137" s="3" t="s">
        <v>25</v>
      </c>
      <c r="C137" s="3">
        <v>2017.0</v>
      </c>
      <c r="D137" s="3">
        <v>130000.0</v>
      </c>
      <c r="E137" s="3" t="s">
        <v>27</v>
      </c>
      <c r="F137" s="3" t="s">
        <v>28</v>
      </c>
      <c r="G137" s="3" t="s">
        <v>29</v>
      </c>
      <c r="H137" s="3" t="s">
        <v>71</v>
      </c>
      <c r="I137" s="3" t="str">
        <f t="shared" si="8"/>
        <v>Audi</v>
      </c>
      <c r="J137" s="15" t="str">
        <f>VLOOKUP(I137,'Manufacturing country'!A:B,2,0)</f>
        <v>Germany</v>
      </c>
      <c r="K137" s="1" t="str">
        <f t="shared" si="9"/>
        <v>=VLOOKUP(I137,'Manufacturing country'!A:B,2,0)</v>
      </c>
    </row>
    <row r="138" ht="15.75" customHeight="1">
      <c r="B138" s="3" t="s">
        <v>30</v>
      </c>
      <c r="C138" s="3">
        <v>2020.0</v>
      </c>
      <c r="D138" s="3">
        <v>92450.0</v>
      </c>
      <c r="E138" s="3" t="s">
        <v>32</v>
      </c>
      <c r="F138" s="3" t="s">
        <v>23</v>
      </c>
      <c r="G138" s="3" t="s">
        <v>33</v>
      </c>
      <c r="H138" s="3" t="s">
        <v>72</v>
      </c>
      <c r="I138" s="3" t="str">
        <f t="shared" si="8"/>
        <v>Mercedes</v>
      </c>
      <c r="J138" s="15" t="str">
        <f>VLOOKUP(I138,'Manufacturing country'!A:B,2,0)</f>
        <v>Germany</v>
      </c>
      <c r="K138" s="1" t="str">
        <f t="shared" si="9"/>
        <v>=VLOOKUP(I138,'Manufacturing country'!A:B,2,0)</v>
      </c>
    </row>
    <row r="139" ht="15.75" customHeight="1">
      <c r="B139" s="3" t="s">
        <v>21</v>
      </c>
      <c r="C139" s="3">
        <v>2020.0</v>
      </c>
      <c r="D139" s="3">
        <v>76240.0</v>
      </c>
      <c r="E139" s="3" t="s">
        <v>22</v>
      </c>
      <c r="F139" s="3" t="s">
        <v>23</v>
      </c>
      <c r="G139" s="3" t="s">
        <v>29</v>
      </c>
      <c r="H139" s="3" t="s">
        <v>73</v>
      </c>
      <c r="I139" s="3" t="str">
        <f t="shared" si="8"/>
        <v>BMW</v>
      </c>
      <c r="J139" s="15" t="str">
        <f>VLOOKUP(I139,'Manufacturing country'!A:B,2,0)</f>
        <v>Germany</v>
      </c>
      <c r="K139" s="1" t="str">
        <f t="shared" si="9"/>
        <v>=VLOOKUP(I139,'Manufacturing country'!A:B,2,0)</v>
      </c>
    </row>
    <row r="140" ht="15.75" customHeight="1">
      <c r="B140" s="3" t="s">
        <v>37</v>
      </c>
      <c r="C140" s="3">
        <v>2021.0</v>
      </c>
      <c r="D140" s="3">
        <v>17283.0</v>
      </c>
      <c r="E140" s="3" t="s">
        <v>22</v>
      </c>
      <c r="F140" s="3" t="s">
        <v>28</v>
      </c>
      <c r="G140" s="3" t="s">
        <v>24</v>
      </c>
      <c r="H140" s="3" t="s">
        <v>74</v>
      </c>
      <c r="I140" s="3" t="str">
        <f t="shared" si="8"/>
        <v>BMW</v>
      </c>
      <c r="J140" s="15" t="str">
        <f>VLOOKUP(I140,'Manufacturing country'!A:B,2,0)</f>
        <v>Germany</v>
      </c>
      <c r="K140" s="1" t="str">
        <f t="shared" si="9"/>
        <v>=VLOOKUP(I140,'Manufacturing country'!A:B,2,0)</v>
      </c>
    </row>
    <row r="141" ht="15.75" customHeight="1">
      <c r="B141" s="3" t="s">
        <v>40</v>
      </c>
      <c r="C141" s="3">
        <v>2020.0</v>
      </c>
      <c r="D141" s="3">
        <v>98312.0</v>
      </c>
      <c r="E141" s="3" t="s">
        <v>27</v>
      </c>
      <c r="F141" s="3" t="s">
        <v>23</v>
      </c>
      <c r="G141" s="3" t="s">
        <v>33</v>
      </c>
      <c r="H141" s="3" t="s">
        <v>75</v>
      </c>
      <c r="I141" s="3" t="str">
        <f t="shared" si="8"/>
        <v>Lexus</v>
      </c>
      <c r="J141" s="15" t="str">
        <f>VLOOKUP(I141,'Manufacturing country'!A:B,2,0)</f>
        <v>Japan</v>
      </c>
      <c r="K141" s="1" t="str">
        <f t="shared" si="9"/>
        <v>=VLOOKUP(I141,'Manufacturing country'!A:B,2,0)</v>
      </c>
    </row>
    <row r="142" ht="15.75" customHeight="1">
      <c r="B142" s="3" t="s">
        <v>37</v>
      </c>
      <c r="C142" s="3">
        <v>2018.0</v>
      </c>
      <c r="D142" s="3">
        <v>156784.0</v>
      </c>
      <c r="E142" s="3" t="s">
        <v>35</v>
      </c>
      <c r="F142" s="3" t="s">
        <v>28</v>
      </c>
      <c r="G142" s="3" t="s">
        <v>33</v>
      </c>
      <c r="H142" s="3" t="s">
        <v>76</v>
      </c>
      <c r="I142" s="3" t="str">
        <f t="shared" si="8"/>
        <v>BMW</v>
      </c>
      <c r="J142" s="15" t="str">
        <f>VLOOKUP(I142,'Manufacturing country'!A:B,2,0)</f>
        <v>Germany</v>
      </c>
      <c r="K142" s="1" t="str">
        <f t="shared" si="9"/>
        <v>=VLOOKUP(I142,'Manufacturing country'!A:B,2,0)</v>
      </c>
    </row>
    <row r="143" ht="15.75" customHeight="1">
      <c r="B143" s="3" t="s">
        <v>21</v>
      </c>
      <c r="C143" s="3">
        <v>2019.0</v>
      </c>
      <c r="D143" s="3">
        <v>52034.0</v>
      </c>
      <c r="E143" s="3" t="s">
        <v>77</v>
      </c>
      <c r="F143" s="3" t="s">
        <v>23</v>
      </c>
      <c r="G143" s="3" t="s">
        <v>24</v>
      </c>
      <c r="H143" s="3" t="s">
        <v>78</v>
      </c>
      <c r="I143" s="3" t="str">
        <f t="shared" si="8"/>
        <v>BMW</v>
      </c>
      <c r="J143" s="15" t="str">
        <f>VLOOKUP(I143,'Manufacturing country'!A:B,2,0)</f>
        <v>Germany</v>
      </c>
      <c r="K143" s="1" t="str">
        <f t="shared" si="9"/>
        <v>=VLOOKUP(I143,'Manufacturing country'!A:B,2,0)</v>
      </c>
    </row>
    <row r="144" ht="15.75" customHeight="1">
      <c r="B144" s="3" t="s">
        <v>44</v>
      </c>
      <c r="C144" s="3">
        <v>2011.0</v>
      </c>
      <c r="D144" s="3">
        <v>205204.0</v>
      </c>
      <c r="E144" s="3" t="s">
        <v>27</v>
      </c>
      <c r="F144" s="3" t="s">
        <v>23</v>
      </c>
      <c r="G144" s="3" t="s">
        <v>29</v>
      </c>
      <c r="H144" s="3" t="s">
        <v>79</v>
      </c>
      <c r="I144" s="3" t="str">
        <f t="shared" si="8"/>
        <v>BMW</v>
      </c>
      <c r="J144" s="15" t="str">
        <f>VLOOKUP(I144,'Manufacturing country'!A:B,2,0)</f>
        <v>Germany</v>
      </c>
      <c r="K144" s="1" t="str">
        <f t="shared" si="9"/>
        <v>=VLOOKUP(I144,'Manufacturing country'!A:B,2,0)</v>
      </c>
    </row>
    <row r="145" ht="15.75" customHeight="1">
      <c r="B145" s="3" t="s">
        <v>30</v>
      </c>
      <c r="C145" s="3">
        <v>2014.0</v>
      </c>
      <c r="D145" s="3">
        <v>152985.0</v>
      </c>
      <c r="E145" s="3" t="s">
        <v>32</v>
      </c>
      <c r="F145" s="3" t="s">
        <v>23</v>
      </c>
      <c r="G145" s="3" t="s">
        <v>29</v>
      </c>
      <c r="H145" s="3" t="s">
        <v>80</v>
      </c>
      <c r="I145" s="3" t="str">
        <f t="shared" si="8"/>
        <v>Mercedes</v>
      </c>
      <c r="J145" s="15" t="str">
        <f>VLOOKUP(I145,'Manufacturing country'!A:B,2,0)</f>
        <v>Germany</v>
      </c>
      <c r="K145" s="1" t="str">
        <f t="shared" si="9"/>
        <v>=VLOOKUP(I145,'Manufacturing country'!A:B,2,0)</v>
      </c>
    </row>
    <row r="146" ht="15.75" customHeight="1">
      <c r="B146" s="3" t="s">
        <v>45</v>
      </c>
      <c r="C146" s="3">
        <v>2018.0</v>
      </c>
      <c r="D146" s="3">
        <v>76429.0</v>
      </c>
      <c r="E146" s="3" t="s">
        <v>39</v>
      </c>
      <c r="F146" s="3" t="s">
        <v>23</v>
      </c>
      <c r="G146" s="3" t="s">
        <v>24</v>
      </c>
      <c r="H146" s="3" t="s">
        <v>81</v>
      </c>
      <c r="I146" s="3" t="str">
        <f t="shared" si="8"/>
        <v>Tesla</v>
      </c>
      <c r="J146" s="15" t="str">
        <f>VLOOKUP(I146,'Manufacturing country'!A:B,2,0)</f>
        <v>USA</v>
      </c>
      <c r="K146" s="1" t="str">
        <f t="shared" si="9"/>
        <v>=VLOOKUP(I146,'Manufacturing country'!A:B,2,0)</v>
      </c>
    </row>
    <row r="147" ht="15.75" customHeight="1">
      <c r="B147" s="3" t="s">
        <v>46</v>
      </c>
      <c r="C147" s="3">
        <v>2013.0</v>
      </c>
      <c r="D147" s="3">
        <v>254028.0</v>
      </c>
      <c r="E147" s="3" t="s">
        <v>82</v>
      </c>
      <c r="F147" s="3" t="s">
        <v>28</v>
      </c>
      <c r="G147" s="3" t="s">
        <v>29</v>
      </c>
      <c r="H147" s="3" t="s">
        <v>83</v>
      </c>
      <c r="I147" s="3" t="str">
        <f t="shared" si="8"/>
        <v>Volvo</v>
      </c>
      <c r="J147" s="15" t="str">
        <f>VLOOKUP(I147,'Manufacturing country'!A:B,2,0)</f>
        <v>Sweden</v>
      </c>
      <c r="K147" s="1" t="str">
        <f t="shared" si="9"/>
        <v>=VLOOKUP(I147,'Manufacturing country'!A:B,2,0)</v>
      </c>
    </row>
    <row r="148" ht="15.75" customHeight="1">
      <c r="B148" s="3" t="s">
        <v>47</v>
      </c>
      <c r="C148" s="3">
        <v>2014.0</v>
      </c>
      <c r="D148" s="3">
        <v>45832.0</v>
      </c>
      <c r="E148" s="3" t="s">
        <v>22</v>
      </c>
      <c r="F148" s="3" t="s">
        <v>28</v>
      </c>
      <c r="G148" s="3" t="s">
        <v>24</v>
      </c>
      <c r="H148" s="3" t="s">
        <v>84</v>
      </c>
      <c r="I148" s="3" t="str">
        <f t="shared" si="8"/>
        <v>Audi</v>
      </c>
      <c r="J148" s="15" t="str">
        <f>VLOOKUP(I148,'Manufacturing country'!A:B,2,0)</f>
        <v>Germany</v>
      </c>
      <c r="K148" s="1" t="str">
        <f t="shared" si="9"/>
        <v>=VLOOKUP(I148,'Manufacturing country'!A:B,2,0)</v>
      </c>
    </row>
    <row r="149" ht="15.75" customHeight="1">
      <c r="B149" s="3" t="s">
        <v>48</v>
      </c>
      <c r="C149" s="3">
        <v>2018.0</v>
      </c>
      <c r="D149" s="3">
        <v>67591.0</v>
      </c>
      <c r="E149" s="3" t="s">
        <v>35</v>
      </c>
      <c r="F149" s="3" t="s">
        <v>23</v>
      </c>
      <c r="G149" s="3" t="s">
        <v>29</v>
      </c>
      <c r="H149" s="3" t="s">
        <v>85</v>
      </c>
      <c r="I149" s="3" t="str">
        <f t="shared" si="8"/>
        <v>Cadillac</v>
      </c>
      <c r="J149" s="15" t="str">
        <f>VLOOKUP(I149,'Manufacturing country'!A:B,2,0)</f>
        <v>USA</v>
      </c>
      <c r="K149" s="1" t="str">
        <f t="shared" si="9"/>
        <v>=VLOOKUP(I149,'Manufacturing country'!A:B,2,0)</v>
      </c>
    </row>
    <row r="150" ht="15.75" customHeight="1">
      <c r="B150" s="3" t="s">
        <v>49</v>
      </c>
      <c r="C150" s="3">
        <v>2013.0</v>
      </c>
      <c r="D150" s="3">
        <v>85320.0</v>
      </c>
      <c r="E150" s="3" t="s">
        <v>22</v>
      </c>
      <c r="F150" s="3" t="s">
        <v>23</v>
      </c>
      <c r="G150" s="3" t="s">
        <v>29</v>
      </c>
      <c r="H150" s="3" t="s">
        <v>86</v>
      </c>
      <c r="I150" s="3" t="str">
        <f t="shared" si="8"/>
        <v>Jaguar</v>
      </c>
      <c r="J150" s="15" t="str">
        <f>VLOOKUP(I150,'Manufacturing country'!A:B,2,0)</f>
        <v>UK</v>
      </c>
      <c r="K150" s="1" t="str">
        <f t="shared" si="9"/>
        <v>=VLOOKUP(I150,'Manufacturing country'!A:B,2,0)</v>
      </c>
    </row>
    <row r="151" ht="15.75" customHeight="1">
      <c r="B151" s="3" t="s">
        <v>40</v>
      </c>
      <c r="C151" s="3">
        <v>2016.0</v>
      </c>
      <c r="D151" s="3">
        <v>5000.0</v>
      </c>
      <c r="E151" s="3" t="s">
        <v>22</v>
      </c>
      <c r="F151" s="3" t="s">
        <v>23</v>
      </c>
      <c r="G151" s="3" t="s">
        <v>24</v>
      </c>
      <c r="H151" s="3" t="s">
        <v>87</v>
      </c>
      <c r="I151" s="3" t="str">
        <f t="shared" si="8"/>
        <v>Lexus</v>
      </c>
      <c r="J151" s="15" t="str">
        <f>VLOOKUP(I151,'Manufacturing country'!A:B,2,0)</f>
        <v>Japan</v>
      </c>
      <c r="K151" s="1" t="str">
        <f t="shared" si="9"/>
        <v>=VLOOKUP(I151,'Manufacturing country'!A:B,2,0)</v>
      </c>
    </row>
    <row r="152" ht="15.75" customHeight="1">
      <c r="B152" s="3" t="s">
        <v>50</v>
      </c>
      <c r="C152" s="3">
        <v>2017.0</v>
      </c>
      <c r="D152" s="3">
        <v>92450.0</v>
      </c>
      <c r="E152" s="3" t="s">
        <v>27</v>
      </c>
      <c r="F152" s="3" t="s">
        <v>28</v>
      </c>
      <c r="G152" s="3" t="s">
        <v>29</v>
      </c>
      <c r="H152" s="3" t="s">
        <v>88</v>
      </c>
      <c r="I152" s="3" t="str">
        <f t="shared" si="8"/>
        <v>BMW</v>
      </c>
      <c r="J152" s="15" t="str">
        <f>VLOOKUP(I152,'Manufacturing country'!A:B,2,0)</f>
        <v>Germany</v>
      </c>
      <c r="K152" s="1" t="str">
        <f t="shared" si="9"/>
        <v>=VLOOKUP(I152,'Manufacturing country'!A:B,2,0)</v>
      </c>
    </row>
    <row r="153" ht="15.75" customHeight="1">
      <c r="B153" s="3" t="s">
        <v>40</v>
      </c>
      <c r="C153" s="3">
        <v>2015.0</v>
      </c>
      <c r="D153" s="3">
        <v>130000.0</v>
      </c>
      <c r="E153" s="3" t="s">
        <v>32</v>
      </c>
      <c r="F153" s="3" t="s">
        <v>23</v>
      </c>
      <c r="G153" s="3" t="s">
        <v>36</v>
      </c>
      <c r="H153" s="3" t="s">
        <v>89</v>
      </c>
      <c r="I153" s="3" t="str">
        <f t="shared" si="8"/>
        <v>Lexus</v>
      </c>
      <c r="J153" s="15" t="str">
        <f>VLOOKUP(I153,'Manufacturing country'!A:B,2,0)</f>
        <v>Japan</v>
      </c>
      <c r="K153" s="1" t="str">
        <f t="shared" si="9"/>
        <v>=VLOOKUP(I153,'Manufacturing country'!A:B,2,0)</v>
      </c>
    </row>
    <row r="154" ht="15.75" customHeight="1">
      <c r="B154" s="17"/>
    </row>
    <row r="155" ht="15.75" customHeight="1">
      <c r="B155" s="17"/>
    </row>
    <row r="156" ht="15.75" customHeight="1">
      <c r="B156" s="4" t="s">
        <v>116</v>
      </c>
    </row>
    <row r="157" ht="15.75" customHeight="1">
      <c r="B157" s="4" t="s">
        <v>117</v>
      </c>
    </row>
    <row r="158" ht="15.75" customHeight="1"/>
    <row r="159" ht="15.75" customHeight="1">
      <c r="B159" s="3" t="s">
        <v>118</v>
      </c>
    </row>
    <row r="160" ht="15.75" customHeight="1"/>
    <row r="161" ht="15.75" customHeight="1">
      <c r="B161" s="1" t="s">
        <v>61</v>
      </c>
      <c r="C161" s="1" t="s">
        <v>99</v>
      </c>
    </row>
    <row r="162" ht="15.75" customHeight="1">
      <c r="B162" s="3" t="str">
        <f t="array" ref="B162:B166">UNIQUE(J111:J128)</f>
        <v>Germany</v>
      </c>
      <c r="C162" s="15">
        <f t="shared" ref="C162:C166" si="10">COUNTIF($J$111:$J$128,B162)</f>
        <v>11</v>
      </c>
      <c r="D162" s="1" t="str">
        <f t="shared" ref="D162:D166" si="11">FORMULATEXT(C162)</f>
        <v>=COUNTIF($J$111:$J$128,B162)</v>
      </c>
    </row>
    <row r="163" ht="15.75" customHeight="1">
      <c r="B163" s="3" t="s">
        <v>66</v>
      </c>
      <c r="C163" s="15">
        <f t="shared" si="10"/>
        <v>3</v>
      </c>
      <c r="D163" s="1" t="str">
        <f t="shared" si="11"/>
        <v>=COUNTIF($J$111:$J$128,B163)</v>
      </c>
    </row>
    <row r="164" ht="15.75" customHeight="1">
      <c r="B164" s="3" t="s">
        <v>67</v>
      </c>
      <c r="C164" s="15">
        <f t="shared" si="10"/>
        <v>2</v>
      </c>
      <c r="D164" s="1" t="str">
        <f t="shared" si="11"/>
        <v>=COUNTIF($J$111:$J$128,B164)</v>
      </c>
    </row>
    <row r="165" ht="15.75" customHeight="1">
      <c r="B165" s="3" t="s">
        <v>69</v>
      </c>
      <c r="C165" s="15">
        <f t="shared" si="10"/>
        <v>1</v>
      </c>
      <c r="D165" s="1" t="str">
        <f t="shared" si="11"/>
        <v>=COUNTIF($J$111:$J$128,B165)</v>
      </c>
    </row>
    <row r="166" ht="15.75" customHeight="1">
      <c r="B166" s="3" t="s">
        <v>68</v>
      </c>
      <c r="C166" s="15">
        <f t="shared" si="10"/>
        <v>1</v>
      </c>
      <c r="D166" s="1" t="str">
        <f t="shared" si="11"/>
        <v>=COUNTIF($J$111:$J$128,B166)</v>
      </c>
    </row>
    <row r="167" ht="15.75" customHeight="1"/>
    <row r="168" ht="15.75" customHeight="1"/>
    <row r="169" ht="15.75" customHeight="1"/>
    <row r="170" ht="15.75" customHeight="1">
      <c r="A170" s="3">
        <v>3.0</v>
      </c>
      <c r="B170" s="3" t="s">
        <v>5</v>
      </c>
    </row>
    <row r="171" ht="15.75" customHeight="1"/>
    <row r="172" ht="15.75" customHeight="1">
      <c r="B172" s="3" t="s">
        <v>119</v>
      </c>
    </row>
    <row r="173" ht="15.75" customHeight="1"/>
    <row r="174" ht="15.75" customHeight="1">
      <c r="B174" s="1" t="s">
        <v>13</v>
      </c>
      <c r="C174" s="1" t="s">
        <v>99</v>
      </c>
    </row>
    <row r="175" ht="15.75" customHeight="1">
      <c r="B175" s="3" t="str">
        <f t="array" ref="B175:B181">UNIQUE(E111:E128)</f>
        <v>White</v>
      </c>
      <c r="C175" s="3">
        <f t="shared" ref="C175:C181" si="12">COUNTIF($E$111:$E$128,B175)</f>
        <v>6</v>
      </c>
    </row>
    <row r="176" ht="15.75" customHeight="1">
      <c r="B176" s="3" t="s">
        <v>27</v>
      </c>
      <c r="C176" s="3">
        <f t="shared" si="12"/>
        <v>4</v>
      </c>
    </row>
    <row r="177" ht="15.75" customHeight="1">
      <c r="B177" s="3" t="s">
        <v>32</v>
      </c>
      <c r="C177" s="3">
        <f t="shared" si="12"/>
        <v>3</v>
      </c>
    </row>
    <row r="178" ht="15.75" customHeight="1">
      <c r="B178" s="3" t="s">
        <v>35</v>
      </c>
      <c r="C178" s="3">
        <f t="shared" si="12"/>
        <v>2</v>
      </c>
    </row>
    <row r="179" ht="15.75" customHeight="1">
      <c r="B179" s="3" t="s">
        <v>77</v>
      </c>
      <c r="C179" s="3">
        <f t="shared" si="12"/>
        <v>1</v>
      </c>
    </row>
    <row r="180" ht="15.75" customHeight="1">
      <c r="B180" s="3" t="s">
        <v>39</v>
      </c>
      <c r="C180" s="3">
        <f t="shared" si="12"/>
        <v>1</v>
      </c>
    </row>
    <row r="181" ht="15.75" customHeight="1">
      <c r="B181" s="3" t="s">
        <v>82</v>
      </c>
      <c r="C181" s="3">
        <f t="shared" si="12"/>
        <v>1</v>
      </c>
    </row>
    <row r="182" ht="15.75" customHeight="1"/>
    <row r="183" ht="15.75" customHeight="1">
      <c r="B183" s="3" t="s">
        <v>120</v>
      </c>
    </row>
    <row r="184" ht="15.75" customHeight="1">
      <c r="B184" s="3" t="s">
        <v>121</v>
      </c>
    </row>
    <row r="185" ht="15.75" customHeight="1"/>
    <row r="186" ht="15.75" customHeight="1"/>
    <row r="187" ht="15.75" customHeight="1"/>
    <row r="188" ht="15.75" customHeight="1"/>
    <row r="189" ht="15.75" customHeight="1"/>
    <row r="190" ht="15.75" customHeight="1"/>
    <row r="191" ht="15.75" customHeight="1"/>
    <row r="192" ht="15.75" customHeight="1">
      <c r="B192" s="3" t="s">
        <v>122</v>
      </c>
    </row>
    <row r="193" ht="15.75" customHeight="1">
      <c r="B193" s="3" t="s">
        <v>123</v>
      </c>
    </row>
    <row r="194" ht="15.75" customHeight="1"/>
    <row r="195" ht="15.75" customHeight="1"/>
    <row r="196" ht="15.75" customHeight="1"/>
    <row r="197" ht="15.75" customHeight="1"/>
    <row r="198" ht="15.75" customHeight="1"/>
    <row r="199" ht="15.75" customHeight="1">
      <c r="B199" s="3" t="s">
        <v>124</v>
      </c>
    </row>
    <row r="200" ht="15.75" customHeight="1"/>
    <row r="201" ht="15.75" customHeight="1">
      <c r="B201" s="3" t="s">
        <v>125</v>
      </c>
    </row>
    <row r="202" ht="15.75" customHeight="1">
      <c r="A202" s="3" t="s">
        <v>126</v>
      </c>
      <c r="B202" s="3" t="s">
        <v>127</v>
      </c>
    </row>
    <row r="203" ht="15.75" customHeight="1">
      <c r="A203" s="3" t="s">
        <v>126</v>
      </c>
      <c r="B203" s="3" t="s">
        <v>128</v>
      </c>
    </row>
    <row r="204" ht="15.75" customHeight="1"/>
    <row r="205" ht="15.75" customHeight="1">
      <c r="B205" s="1" t="s">
        <v>7</v>
      </c>
      <c r="C205" s="1" t="s">
        <v>11</v>
      </c>
      <c r="D205" s="1" t="s">
        <v>12</v>
      </c>
      <c r="E205" s="1" t="s">
        <v>13</v>
      </c>
      <c r="F205" s="1" t="s">
        <v>16</v>
      </c>
      <c r="G205" s="1" t="s">
        <v>17</v>
      </c>
      <c r="H205" s="1" t="s">
        <v>18</v>
      </c>
      <c r="I205" s="1" t="s">
        <v>8</v>
      </c>
      <c r="J205" s="1" t="s">
        <v>129</v>
      </c>
    </row>
    <row r="206" ht="15.75" customHeight="1">
      <c r="B206" s="3" t="s">
        <v>21</v>
      </c>
      <c r="C206" s="3">
        <v>2012.0</v>
      </c>
      <c r="D206" s="3">
        <v>342358.0</v>
      </c>
      <c r="E206" s="3" t="s">
        <v>22</v>
      </c>
      <c r="F206" s="3" t="s">
        <v>23</v>
      </c>
      <c r="G206" s="3" t="s">
        <v>24</v>
      </c>
      <c r="H206" s="3" t="s">
        <v>70</v>
      </c>
      <c r="I206" s="3" t="str">
        <f t="shared" ref="I206:I223" si="13">LEFT(B206,FIND(" ",B206)-1)</f>
        <v>BMW</v>
      </c>
      <c r="J206" s="15" t="str">
        <f t="shared" ref="J206:J223" si="14">TRIM(E206)</f>
        <v>White</v>
      </c>
      <c r="K206" s="1" t="str">
        <f t="shared" ref="K206:K223" si="15">FORMULATEXT(J206)</f>
        <v>=TRIM(E206)</v>
      </c>
    </row>
    <row r="207" ht="15.75" customHeight="1">
      <c r="B207" s="3" t="s">
        <v>25</v>
      </c>
      <c r="C207" s="3">
        <v>2017.0</v>
      </c>
      <c r="D207" s="3">
        <v>130000.0</v>
      </c>
      <c r="E207" s="3" t="s">
        <v>27</v>
      </c>
      <c r="F207" s="3" t="s">
        <v>28</v>
      </c>
      <c r="G207" s="3" t="s">
        <v>29</v>
      </c>
      <c r="H207" s="3" t="s">
        <v>71</v>
      </c>
      <c r="I207" s="3" t="str">
        <f t="shared" si="13"/>
        <v>Audi</v>
      </c>
      <c r="J207" s="15" t="str">
        <f t="shared" si="14"/>
        <v>Red</v>
      </c>
      <c r="K207" s="1" t="str">
        <f t="shared" si="15"/>
        <v>=TRIM(E207)</v>
      </c>
    </row>
    <row r="208" ht="15.75" customHeight="1">
      <c r="B208" s="3" t="s">
        <v>30</v>
      </c>
      <c r="C208" s="3">
        <v>2020.0</v>
      </c>
      <c r="D208" s="3">
        <v>92450.0</v>
      </c>
      <c r="E208" s="3" t="s">
        <v>32</v>
      </c>
      <c r="F208" s="3" t="s">
        <v>23</v>
      </c>
      <c r="G208" s="3" t="s">
        <v>33</v>
      </c>
      <c r="H208" s="3" t="s">
        <v>72</v>
      </c>
      <c r="I208" s="3" t="str">
        <f t="shared" si="13"/>
        <v>Mercedes</v>
      </c>
      <c r="J208" s="15" t="str">
        <f t="shared" si="14"/>
        <v>Black</v>
      </c>
      <c r="K208" s="1" t="str">
        <f t="shared" si="15"/>
        <v>=TRIM(E208)</v>
      </c>
    </row>
    <row r="209" ht="15.75" customHeight="1">
      <c r="B209" s="3" t="s">
        <v>21</v>
      </c>
      <c r="C209" s="3">
        <v>2020.0</v>
      </c>
      <c r="D209" s="3">
        <v>76240.0</v>
      </c>
      <c r="E209" s="3" t="s">
        <v>22</v>
      </c>
      <c r="F209" s="3" t="s">
        <v>23</v>
      </c>
      <c r="G209" s="3" t="s">
        <v>29</v>
      </c>
      <c r="H209" s="3" t="s">
        <v>73</v>
      </c>
      <c r="I209" s="3" t="str">
        <f t="shared" si="13"/>
        <v>BMW</v>
      </c>
      <c r="J209" s="15" t="str">
        <f t="shared" si="14"/>
        <v>White</v>
      </c>
      <c r="K209" s="1" t="str">
        <f t="shared" si="15"/>
        <v>=TRIM(E209)</v>
      </c>
    </row>
    <row r="210" ht="15.75" customHeight="1">
      <c r="B210" s="3" t="s">
        <v>37</v>
      </c>
      <c r="C210" s="3">
        <v>2021.0</v>
      </c>
      <c r="D210" s="3">
        <v>17283.0</v>
      </c>
      <c r="E210" s="3" t="s">
        <v>22</v>
      </c>
      <c r="F210" s="3" t="s">
        <v>28</v>
      </c>
      <c r="G210" s="3" t="s">
        <v>24</v>
      </c>
      <c r="H210" s="3" t="s">
        <v>74</v>
      </c>
      <c r="I210" s="3" t="str">
        <f t="shared" si="13"/>
        <v>BMW</v>
      </c>
      <c r="J210" s="15" t="str">
        <f t="shared" si="14"/>
        <v>White</v>
      </c>
      <c r="K210" s="1" t="str">
        <f t="shared" si="15"/>
        <v>=TRIM(E210)</v>
      </c>
    </row>
    <row r="211" ht="15.75" customHeight="1">
      <c r="B211" s="3" t="s">
        <v>40</v>
      </c>
      <c r="C211" s="3">
        <v>2020.0</v>
      </c>
      <c r="D211" s="3">
        <v>98312.0</v>
      </c>
      <c r="E211" s="3" t="s">
        <v>27</v>
      </c>
      <c r="F211" s="3" t="s">
        <v>23</v>
      </c>
      <c r="G211" s="3" t="s">
        <v>33</v>
      </c>
      <c r="H211" s="3" t="s">
        <v>75</v>
      </c>
      <c r="I211" s="3" t="str">
        <f t="shared" si="13"/>
        <v>Lexus</v>
      </c>
      <c r="J211" s="15" t="str">
        <f t="shared" si="14"/>
        <v>Red</v>
      </c>
      <c r="K211" s="1" t="str">
        <f t="shared" si="15"/>
        <v>=TRIM(E211)</v>
      </c>
    </row>
    <row r="212" ht="15.75" customHeight="1">
      <c r="B212" s="3" t="s">
        <v>37</v>
      </c>
      <c r="C212" s="3">
        <v>2018.0</v>
      </c>
      <c r="D212" s="3">
        <v>156784.0</v>
      </c>
      <c r="E212" s="3" t="s">
        <v>35</v>
      </c>
      <c r="F212" s="3" t="s">
        <v>28</v>
      </c>
      <c r="G212" s="3" t="s">
        <v>33</v>
      </c>
      <c r="H212" s="3" t="s">
        <v>76</v>
      </c>
      <c r="I212" s="3" t="str">
        <f t="shared" si="13"/>
        <v>BMW</v>
      </c>
      <c r="J212" s="15" t="str">
        <f t="shared" si="14"/>
        <v>Blue</v>
      </c>
      <c r="K212" s="1" t="str">
        <f t="shared" si="15"/>
        <v>=TRIM(E212)</v>
      </c>
    </row>
    <row r="213" ht="15.75" customHeight="1">
      <c r="B213" s="3" t="s">
        <v>21</v>
      </c>
      <c r="C213" s="3">
        <v>2019.0</v>
      </c>
      <c r="D213" s="3">
        <v>52034.0</v>
      </c>
      <c r="E213" s="3" t="s">
        <v>77</v>
      </c>
      <c r="F213" s="3" t="s">
        <v>23</v>
      </c>
      <c r="G213" s="3" t="s">
        <v>24</v>
      </c>
      <c r="H213" s="3" t="s">
        <v>78</v>
      </c>
      <c r="I213" s="3" t="str">
        <f t="shared" si="13"/>
        <v>BMW</v>
      </c>
      <c r="J213" s="15" t="str">
        <f t="shared" si="14"/>
        <v>Blue</v>
      </c>
      <c r="K213" s="1" t="str">
        <f t="shared" si="15"/>
        <v>=TRIM(E213)</v>
      </c>
    </row>
    <row r="214" ht="15.75" customHeight="1">
      <c r="B214" s="3" t="s">
        <v>44</v>
      </c>
      <c r="C214" s="3">
        <v>2011.0</v>
      </c>
      <c r="D214" s="3">
        <v>205204.0</v>
      </c>
      <c r="E214" s="3" t="s">
        <v>27</v>
      </c>
      <c r="F214" s="3" t="s">
        <v>23</v>
      </c>
      <c r="G214" s="3" t="s">
        <v>29</v>
      </c>
      <c r="H214" s="3" t="s">
        <v>79</v>
      </c>
      <c r="I214" s="3" t="str">
        <f t="shared" si="13"/>
        <v>BMW</v>
      </c>
      <c r="J214" s="15" t="str">
        <f t="shared" si="14"/>
        <v>Red</v>
      </c>
      <c r="K214" s="1" t="str">
        <f t="shared" si="15"/>
        <v>=TRIM(E214)</v>
      </c>
    </row>
    <row r="215" ht="15.75" customHeight="1">
      <c r="B215" s="3" t="s">
        <v>30</v>
      </c>
      <c r="C215" s="3">
        <v>2014.0</v>
      </c>
      <c r="D215" s="3">
        <v>152985.0</v>
      </c>
      <c r="E215" s="3" t="s">
        <v>32</v>
      </c>
      <c r="F215" s="3" t="s">
        <v>23</v>
      </c>
      <c r="G215" s="3" t="s">
        <v>29</v>
      </c>
      <c r="H215" s="3" t="s">
        <v>80</v>
      </c>
      <c r="I215" s="3" t="str">
        <f t="shared" si="13"/>
        <v>Mercedes</v>
      </c>
      <c r="J215" s="15" t="str">
        <f t="shared" si="14"/>
        <v>Black</v>
      </c>
      <c r="K215" s="1" t="str">
        <f t="shared" si="15"/>
        <v>=TRIM(E215)</v>
      </c>
    </row>
    <row r="216" ht="15.75" customHeight="1">
      <c r="B216" s="3" t="s">
        <v>45</v>
      </c>
      <c r="C216" s="3">
        <v>2018.0</v>
      </c>
      <c r="D216" s="3">
        <v>76429.0</v>
      </c>
      <c r="E216" s="3" t="s">
        <v>39</v>
      </c>
      <c r="F216" s="3" t="s">
        <v>23</v>
      </c>
      <c r="G216" s="3" t="s">
        <v>24</v>
      </c>
      <c r="H216" s="3" t="s">
        <v>81</v>
      </c>
      <c r="I216" s="3" t="str">
        <f t="shared" si="13"/>
        <v>Tesla</v>
      </c>
      <c r="J216" s="15" t="str">
        <f t="shared" si="14"/>
        <v>Yellow</v>
      </c>
      <c r="K216" s="1" t="str">
        <f t="shared" si="15"/>
        <v>=TRIM(E216)</v>
      </c>
    </row>
    <row r="217" ht="15.75" customHeight="1">
      <c r="B217" s="3" t="s">
        <v>46</v>
      </c>
      <c r="C217" s="3">
        <v>2013.0</v>
      </c>
      <c r="D217" s="3">
        <v>254028.0</v>
      </c>
      <c r="E217" s="3" t="s">
        <v>82</v>
      </c>
      <c r="F217" s="3" t="s">
        <v>28</v>
      </c>
      <c r="G217" s="3" t="s">
        <v>29</v>
      </c>
      <c r="H217" s="3" t="s">
        <v>83</v>
      </c>
      <c r="I217" s="3" t="str">
        <f t="shared" si="13"/>
        <v>Volvo</v>
      </c>
      <c r="J217" s="15" t="str">
        <f t="shared" si="14"/>
        <v>Black</v>
      </c>
      <c r="K217" s="1" t="str">
        <f t="shared" si="15"/>
        <v>=TRIM(E217)</v>
      </c>
    </row>
    <row r="218" ht="15.75" customHeight="1">
      <c r="B218" s="3" t="s">
        <v>47</v>
      </c>
      <c r="C218" s="3">
        <v>2014.0</v>
      </c>
      <c r="D218" s="3">
        <v>45832.0</v>
      </c>
      <c r="E218" s="3" t="s">
        <v>22</v>
      </c>
      <c r="F218" s="3" t="s">
        <v>28</v>
      </c>
      <c r="G218" s="3" t="s">
        <v>24</v>
      </c>
      <c r="H218" s="3" t="s">
        <v>84</v>
      </c>
      <c r="I218" s="3" t="str">
        <f t="shared" si="13"/>
        <v>Audi</v>
      </c>
      <c r="J218" s="15" t="str">
        <f t="shared" si="14"/>
        <v>White</v>
      </c>
      <c r="K218" s="1" t="str">
        <f t="shared" si="15"/>
        <v>=TRIM(E218)</v>
      </c>
    </row>
    <row r="219" ht="15.75" customHeight="1">
      <c r="B219" s="3" t="s">
        <v>48</v>
      </c>
      <c r="C219" s="3">
        <v>2018.0</v>
      </c>
      <c r="D219" s="3">
        <v>67591.0</v>
      </c>
      <c r="E219" s="3" t="s">
        <v>35</v>
      </c>
      <c r="F219" s="3" t="s">
        <v>23</v>
      </c>
      <c r="G219" s="3" t="s">
        <v>29</v>
      </c>
      <c r="H219" s="3" t="s">
        <v>85</v>
      </c>
      <c r="I219" s="3" t="str">
        <f t="shared" si="13"/>
        <v>Cadillac</v>
      </c>
      <c r="J219" s="15" t="str">
        <f t="shared" si="14"/>
        <v>Blue</v>
      </c>
      <c r="K219" s="1" t="str">
        <f t="shared" si="15"/>
        <v>=TRIM(E219)</v>
      </c>
    </row>
    <row r="220" ht="15.75" customHeight="1">
      <c r="B220" s="3" t="s">
        <v>49</v>
      </c>
      <c r="C220" s="3">
        <v>2013.0</v>
      </c>
      <c r="D220" s="3">
        <v>85320.0</v>
      </c>
      <c r="E220" s="3" t="s">
        <v>22</v>
      </c>
      <c r="F220" s="3" t="s">
        <v>23</v>
      </c>
      <c r="G220" s="3" t="s">
        <v>29</v>
      </c>
      <c r="H220" s="3" t="s">
        <v>86</v>
      </c>
      <c r="I220" s="3" t="str">
        <f t="shared" si="13"/>
        <v>Jaguar</v>
      </c>
      <c r="J220" s="15" t="str">
        <f t="shared" si="14"/>
        <v>White</v>
      </c>
      <c r="K220" s="1" t="str">
        <f t="shared" si="15"/>
        <v>=TRIM(E220)</v>
      </c>
    </row>
    <row r="221" ht="15.75" customHeight="1">
      <c r="B221" s="3" t="s">
        <v>40</v>
      </c>
      <c r="C221" s="3">
        <v>2016.0</v>
      </c>
      <c r="D221" s="3">
        <v>5000.0</v>
      </c>
      <c r="E221" s="3" t="s">
        <v>22</v>
      </c>
      <c r="F221" s="3" t="s">
        <v>23</v>
      </c>
      <c r="G221" s="3" t="s">
        <v>24</v>
      </c>
      <c r="H221" s="3" t="s">
        <v>87</v>
      </c>
      <c r="I221" s="3" t="str">
        <f t="shared" si="13"/>
        <v>Lexus</v>
      </c>
      <c r="J221" s="15" t="str">
        <f t="shared" si="14"/>
        <v>White</v>
      </c>
      <c r="K221" s="1" t="str">
        <f t="shared" si="15"/>
        <v>=TRIM(E221)</v>
      </c>
    </row>
    <row r="222" ht="15.75" customHeight="1">
      <c r="B222" s="3" t="s">
        <v>50</v>
      </c>
      <c r="C222" s="3">
        <v>2017.0</v>
      </c>
      <c r="D222" s="3">
        <v>92450.0</v>
      </c>
      <c r="E222" s="3" t="s">
        <v>27</v>
      </c>
      <c r="F222" s="3" t="s">
        <v>28</v>
      </c>
      <c r="G222" s="3" t="s">
        <v>29</v>
      </c>
      <c r="H222" s="3" t="s">
        <v>88</v>
      </c>
      <c r="I222" s="3" t="str">
        <f t="shared" si="13"/>
        <v>BMW</v>
      </c>
      <c r="J222" s="15" t="str">
        <f t="shared" si="14"/>
        <v>Red</v>
      </c>
      <c r="K222" s="1" t="str">
        <f t="shared" si="15"/>
        <v>=TRIM(E222)</v>
      </c>
    </row>
    <row r="223" ht="15.75" customHeight="1">
      <c r="B223" s="3" t="s">
        <v>40</v>
      </c>
      <c r="C223" s="3">
        <v>2015.0</v>
      </c>
      <c r="D223" s="3">
        <v>130000.0</v>
      </c>
      <c r="E223" s="3" t="s">
        <v>32</v>
      </c>
      <c r="F223" s="3" t="s">
        <v>23</v>
      </c>
      <c r="G223" s="3" t="s">
        <v>36</v>
      </c>
      <c r="H223" s="3" t="s">
        <v>89</v>
      </c>
      <c r="I223" s="3" t="str">
        <f t="shared" si="13"/>
        <v>Lexus</v>
      </c>
      <c r="J223" s="15" t="str">
        <f t="shared" si="14"/>
        <v>Black</v>
      </c>
      <c r="K223" s="1" t="str">
        <f t="shared" si="15"/>
        <v>=TRIM(E223)</v>
      </c>
    </row>
    <row r="224" ht="15.75" customHeight="1"/>
    <row r="225" ht="15.75" customHeight="1">
      <c r="B225" s="3" t="s">
        <v>130</v>
      </c>
    </row>
    <row r="226" ht="15.75" customHeight="1"/>
    <row r="227" ht="15.75" customHeight="1">
      <c r="B227" s="1" t="s">
        <v>13</v>
      </c>
      <c r="C227" s="1" t="s">
        <v>99</v>
      </c>
    </row>
    <row r="228" ht="15.75" customHeight="1">
      <c r="B228" s="3" t="str">
        <f t="array" ref="B228:B232">UNIQUE(J206:J223)</f>
        <v>White</v>
      </c>
      <c r="C228" s="3">
        <f t="shared" ref="C228:C232" si="16">COUNTIF($E$111:$E$128,B228)</f>
        <v>6</v>
      </c>
    </row>
    <row r="229" ht="15.75" customHeight="1">
      <c r="B229" s="3" t="s">
        <v>27</v>
      </c>
      <c r="C229" s="3">
        <f t="shared" si="16"/>
        <v>4</v>
      </c>
    </row>
    <row r="230" ht="15.75" customHeight="1">
      <c r="B230" s="3" t="s">
        <v>32</v>
      </c>
      <c r="C230" s="3">
        <f t="shared" si="16"/>
        <v>3</v>
      </c>
    </row>
    <row r="231" ht="15.75" customHeight="1">
      <c r="B231" s="3" t="s">
        <v>35</v>
      </c>
      <c r="C231" s="3">
        <f t="shared" si="16"/>
        <v>2</v>
      </c>
    </row>
    <row r="232" ht="15.75" customHeight="1">
      <c r="B232" s="3" t="s">
        <v>39</v>
      </c>
      <c r="C232" s="3">
        <f t="shared" si="16"/>
        <v>1</v>
      </c>
    </row>
    <row r="233" ht="15.75" customHeight="1"/>
    <row r="234" ht="15.75" customHeight="1">
      <c r="B234" s="3" t="s">
        <v>131</v>
      </c>
    </row>
    <row r="235" ht="15.75" customHeight="1"/>
    <row r="236" ht="15.75" customHeight="1">
      <c r="B236" s="4" t="s">
        <v>132</v>
      </c>
    </row>
    <row r="237" ht="15.75" customHeight="1"/>
    <row r="238" ht="15.75" customHeight="1">
      <c r="A238" s="3">
        <v>4.0</v>
      </c>
      <c r="B238" s="3" t="s">
        <v>6</v>
      </c>
    </row>
    <row r="239" ht="15.75" customHeight="1"/>
    <row r="240" ht="15.75" customHeight="1">
      <c r="B240" s="3" t="s">
        <v>133</v>
      </c>
    </row>
    <row r="241" ht="15.75" customHeight="1"/>
    <row r="242" ht="15.75" customHeight="1">
      <c r="B242" s="1" t="s">
        <v>17</v>
      </c>
      <c r="C242" s="1" t="s">
        <v>134</v>
      </c>
    </row>
    <row r="243" ht="15.75" customHeight="1">
      <c r="B243" s="3" t="str">
        <f t="array" ref="B243:B246">UNIQUE(G206:G223)</f>
        <v>1st owner</v>
      </c>
      <c r="C243" s="3" t="str">
        <f t="shared" ref="C243:C246" si="17">AVERAGEIF($G$206:$G$223,B243,$H$206:$H$223)</f>
        <v>#DIV/0!</v>
      </c>
      <c r="D243" s="1" t="str">
        <f t="shared" ref="D243:D246" si="18">FORMULATEXT(C243)</f>
        <v>=AVERAGEIF($G$206:$G$223,B243,$H$206:$H$223)</v>
      </c>
    </row>
    <row r="244" ht="15.75" customHeight="1">
      <c r="B244" s="3" t="s">
        <v>29</v>
      </c>
      <c r="C244" s="3" t="str">
        <f t="shared" si="17"/>
        <v>#DIV/0!</v>
      </c>
      <c r="D244" s="1" t="str">
        <f t="shared" si="18"/>
        <v>=AVERAGEIF($G$206:$G$223,B244,$H$206:$H$223)</v>
      </c>
    </row>
    <row r="245" ht="15.75" customHeight="1">
      <c r="B245" s="3" t="s">
        <v>33</v>
      </c>
      <c r="C245" s="3" t="str">
        <f t="shared" si="17"/>
        <v>#DIV/0!</v>
      </c>
      <c r="D245" s="1" t="str">
        <f t="shared" si="18"/>
        <v>=AVERAGEIF($G$206:$G$223,B245,$H$206:$H$223)</v>
      </c>
    </row>
    <row r="246" ht="15.75" customHeight="1">
      <c r="B246" s="3" t="s">
        <v>36</v>
      </c>
      <c r="C246" s="3" t="str">
        <f t="shared" si="17"/>
        <v>#DIV/0!</v>
      </c>
      <c r="D246" s="1" t="str">
        <f t="shared" si="18"/>
        <v>=AVERAGEIF($G$206:$G$223,B246,$H$206:$H$223)</v>
      </c>
    </row>
    <row r="247" ht="15.75" customHeight="1"/>
    <row r="248" ht="15.75" customHeight="1">
      <c r="B248" s="4" t="s">
        <v>135</v>
      </c>
    </row>
    <row r="249" ht="15.75" customHeight="1"/>
    <row r="250" ht="15.75" customHeight="1">
      <c r="B250" s="3" t="s">
        <v>136</v>
      </c>
    </row>
    <row r="251" ht="15.75" customHeight="1">
      <c r="B251" s="3" t="s">
        <v>137</v>
      </c>
    </row>
    <row r="252" ht="15.75" customHeight="1">
      <c r="B252" s="3" t="s">
        <v>138</v>
      </c>
    </row>
    <row r="253" ht="15.75" customHeight="1"/>
    <row r="254" ht="15.75" customHeight="1"/>
    <row r="255" ht="15.75" customHeight="1"/>
    <row r="256" ht="15.75" customHeight="1"/>
    <row r="257" ht="15.75" customHeight="1"/>
    <row r="258" ht="15.75" customHeight="1"/>
    <row r="259" ht="15.75" customHeight="1"/>
    <row r="260" ht="15.75" customHeight="1"/>
    <row r="261" ht="15.75" customHeight="1">
      <c r="B261" s="3" t="s">
        <v>139</v>
      </c>
    </row>
    <row r="262" ht="15.75" customHeight="1">
      <c r="B262" s="3" t="s">
        <v>140</v>
      </c>
    </row>
    <row r="263" ht="15.75" customHeight="1"/>
    <row r="264" ht="15.75" customHeight="1">
      <c r="B264" s="3" t="s">
        <v>141</v>
      </c>
    </row>
    <row r="265" ht="15.75" customHeight="1"/>
    <row r="266" ht="15.75" customHeight="1">
      <c r="B266" s="1" t="s">
        <v>7</v>
      </c>
      <c r="C266" s="1" t="s">
        <v>11</v>
      </c>
      <c r="D266" s="1" t="s">
        <v>12</v>
      </c>
      <c r="E266" s="1" t="s">
        <v>13</v>
      </c>
      <c r="F266" s="1" t="s">
        <v>16</v>
      </c>
      <c r="G266" s="1" t="s">
        <v>17</v>
      </c>
      <c r="H266" s="1" t="s">
        <v>18</v>
      </c>
      <c r="I266" s="1" t="s">
        <v>8</v>
      </c>
      <c r="J266" s="1" t="s">
        <v>142</v>
      </c>
    </row>
    <row r="267" ht="15.75" customHeight="1">
      <c r="B267" s="3" t="s">
        <v>21</v>
      </c>
      <c r="C267" s="3">
        <v>2012.0</v>
      </c>
      <c r="D267" s="3">
        <v>342358.0</v>
      </c>
      <c r="E267" s="3" t="s">
        <v>22</v>
      </c>
      <c r="F267" s="3" t="s">
        <v>23</v>
      </c>
      <c r="G267" s="3" t="s">
        <v>24</v>
      </c>
      <c r="H267" s="3" t="s">
        <v>70</v>
      </c>
      <c r="I267" s="3" t="str">
        <f t="shared" ref="I267:I284" si="19">LEFT(B267,FIND(" ",B267)-1)</f>
        <v>BMW</v>
      </c>
      <c r="J267" s="15" t="str">
        <f t="shared" ref="J267:J284" si="20">SUBSTITUTE(H267,"$","")</f>
        <v>15400</v>
      </c>
      <c r="K267" s="1" t="str">
        <f t="shared" ref="K267:K284" si="21">FORMULATEXT(J267)</f>
        <v>=SUBSTITUTE(H267,"$","")</v>
      </c>
    </row>
    <row r="268" ht="15.75" customHeight="1">
      <c r="B268" s="3" t="s">
        <v>25</v>
      </c>
      <c r="C268" s="3">
        <v>2017.0</v>
      </c>
      <c r="D268" s="3">
        <v>130000.0</v>
      </c>
      <c r="E268" s="3" t="s">
        <v>27</v>
      </c>
      <c r="F268" s="3" t="s">
        <v>28</v>
      </c>
      <c r="G268" s="3" t="s">
        <v>29</v>
      </c>
      <c r="H268" s="3" t="s">
        <v>71</v>
      </c>
      <c r="I268" s="3" t="str">
        <f t="shared" si="19"/>
        <v>Audi</v>
      </c>
      <c r="J268" s="15" t="str">
        <f t="shared" si="20"/>
        <v>24321</v>
      </c>
      <c r="K268" s="1" t="str">
        <f t="shared" si="21"/>
        <v>=SUBSTITUTE(H268,"$","")</v>
      </c>
    </row>
    <row r="269" ht="15.75" customHeight="1">
      <c r="B269" s="3" t="s">
        <v>30</v>
      </c>
      <c r="C269" s="3">
        <v>2020.0</v>
      </c>
      <c r="D269" s="3">
        <v>92450.0</v>
      </c>
      <c r="E269" s="3" t="s">
        <v>32</v>
      </c>
      <c r="F269" s="3" t="s">
        <v>23</v>
      </c>
      <c r="G269" s="3" t="s">
        <v>33</v>
      </c>
      <c r="H269" s="3" t="s">
        <v>72</v>
      </c>
      <c r="I269" s="3" t="str">
        <f t="shared" si="19"/>
        <v>Mercedes</v>
      </c>
      <c r="J269" s="15" t="str">
        <f t="shared" si="20"/>
        <v>102342</v>
      </c>
      <c r="K269" s="1" t="str">
        <f t="shared" si="21"/>
        <v>=SUBSTITUTE(H269,"$","")</v>
      </c>
    </row>
    <row r="270" ht="15.75" customHeight="1">
      <c r="B270" s="3" t="s">
        <v>21</v>
      </c>
      <c r="C270" s="3">
        <v>2020.0</v>
      </c>
      <c r="D270" s="3">
        <v>76240.0</v>
      </c>
      <c r="E270" s="3" t="s">
        <v>22</v>
      </c>
      <c r="F270" s="3" t="s">
        <v>23</v>
      </c>
      <c r="G270" s="3" t="s">
        <v>29</v>
      </c>
      <c r="H270" s="3" t="s">
        <v>73</v>
      </c>
      <c r="I270" s="3" t="str">
        <f t="shared" si="19"/>
        <v>BMW</v>
      </c>
      <c r="J270" s="15" t="str">
        <f t="shared" si="20"/>
        <v>55272</v>
      </c>
      <c r="K270" s="1" t="str">
        <f t="shared" si="21"/>
        <v>=SUBSTITUTE(H270,"$","")</v>
      </c>
    </row>
    <row r="271" ht="15.75" customHeight="1">
      <c r="B271" s="3" t="s">
        <v>37</v>
      </c>
      <c r="C271" s="3">
        <v>2021.0</v>
      </c>
      <c r="D271" s="3">
        <v>17283.0</v>
      </c>
      <c r="E271" s="3" t="s">
        <v>22</v>
      </c>
      <c r="F271" s="3" t="s">
        <v>28</v>
      </c>
      <c r="G271" s="3" t="s">
        <v>24</v>
      </c>
      <c r="H271" s="3" t="s">
        <v>74</v>
      </c>
      <c r="I271" s="3" t="str">
        <f t="shared" si="19"/>
        <v>BMW</v>
      </c>
      <c r="J271" s="15" t="str">
        <f t="shared" si="20"/>
        <v>42000</v>
      </c>
      <c r="K271" s="1" t="str">
        <f t="shared" si="21"/>
        <v>=SUBSTITUTE(H271,"$","")</v>
      </c>
    </row>
    <row r="272" ht="15.75" customHeight="1">
      <c r="B272" s="3" t="s">
        <v>40</v>
      </c>
      <c r="C272" s="3">
        <v>2020.0</v>
      </c>
      <c r="D272" s="3">
        <v>98312.0</v>
      </c>
      <c r="E272" s="3" t="s">
        <v>27</v>
      </c>
      <c r="F272" s="3" t="s">
        <v>23</v>
      </c>
      <c r="G272" s="3" t="s">
        <v>33</v>
      </c>
      <c r="H272" s="3" t="s">
        <v>75</v>
      </c>
      <c r="I272" s="3" t="str">
        <f t="shared" si="19"/>
        <v>Lexus</v>
      </c>
      <c r="J272" s="15" t="str">
        <f t="shared" si="20"/>
        <v>51292</v>
      </c>
      <c r="K272" s="1" t="str">
        <f t="shared" si="21"/>
        <v>=SUBSTITUTE(H272,"$","")</v>
      </c>
    </row>
    <row r="273" ht="15.75" customHeight="1">
      <c r="B273" s="3" t="s">
        <v>37</v>
      </c>
      <c r="C273" s="3">
        <v>2018.0</v>
      </c>
      <c r="D273" s="3">
        <v>156784.0</v>
      </c>
      <c r="E273" s="3" t="s">
        <v>35</v>
      </c>
      <c r="F273" s="3" t="s">
        <v>28</v>
      </c>
      <c r="G273" s="3" t="s">
        <v>33</v>
      </c>
      <c r="H273" s="3" t="s">
        <v>76</v>
      </c>
      <c r="I273" s="3" t="str">
        <f t="shared" si="19"/>
        <v>BMW</v>
      </c>
      <c r="J273" s="15" t="str">
        <f t="shared" si="20"/>
        <v>37605</v>
      </c>
      <c r="K273" s="1" t="str">
        <f t="shared" si="21"/>
        <v>=SUBSTITUTE(H273,"$","")</v>
      </c>
    </row>
    <row r="274" ht="15.75" customHeight="1">
      <c r="B274" s="3" t="s">
        <v>21</v>
      </c>
      <c r="C274" s="3">
        <v>2019.0</v>
      </c>
      <c r="D274" s="3">
        <v>52034.0</v>
      </c>
      <c r="E274" s="3" t="s">
        <v>77</v>
      </c>
      <c r="F274" s="3" t="s">
        <v>23</v>
      </c>
      <c r="G274" s="3" t="s">
        <v>24</v>
      </c>
      <c r="H274" s="3" t="s">
        <v>78</v>
      </c>
      <c r="I274" s="3" t="str">
        <f t="shared" si="19"/>
        <v>BMW</v>
      </c>
      <c r="J274" s="15" t="str">
        <f t="shared" si="20"/>
        <v>45000</v>
      </c>
      <c r="K274" s="1" t="str">
        <f t="shared" si="21"/>
        <v>=SUBSTITUTE(H274,"$","")</v>
      </c>
    </row>
    <row r="275" ht="15.75" customHeight="1">
      <c r="B275" s="3" t="s">
        <v>44</v>
      </c>
      <c r="C275" s="3">
        <v>2011.0</v>
      </c>
      <c r="D275" s="3">
        <v>205204.0</v>
      </c>
      <c r="E275" s="3" t="s">
        <v>27</v>
      </c>
      <c r="F275" s="3" t="s">
        <v>23</v>
      </c>
      <c r="G275" s="3" t="s">
        <v>29</v>
      </c>
      <c r="H275" s="3" t="s">
        <v>79</v>
      </c>
      <c r="I275" s="3" t="str">
        <f t="shared" si="19"/>
        <v>BMW</v>
      </c>
      <c r="J275" s="15" t="str">
        <f t="shared" si="20"/>
        <v>13241</v>
      </c>
      <c r="K275" s="1" t="str">
        <f t="shared" si="21"/>
        <v>=SUBSTITUTE(H275,"$","")</v>
      </c>
    </row>
    <row r="276" ht="15.75" customHeight="1">
      <c r="B276" s="3" t="s">
        <v>30</v>
      </c>
      <c r="C276" s="3">
        <v>2014.0</v>
      </c>
      <c r="D276" s="3">
        <v>152985.0</v>
      </c>
      <c r="E276" s="3" t="s">
        <v>32</v>
      </c>
      <c r="F276" s="3" t="s">
        <v>23</v>
      </c>
      <c r="G276" s="3" t="s">
        <v>29</v>
      </c>
      <c r="H276" s="3" t="s">
        <v>80</v>
      </c>
      <c r="I276" s="3" t="str">
        <f t="shared" si="19"/>
        <v>Mercedes</v>
      </c>
      <c r="J276" s="15" t="str">
        <f t="shared" si="20"/>
        <v>49344</v>
      </c>
      <c r="K276" s="1" t="str">
        <f t="shared" si="21"/>
        <v>=SUBSTITUTE(H276,"$","")</v>
      </c>
    </row>
    <row r="277" ht="15.75" customHeight="1">
      <c r="B277" s="3" t="s">
        <v>45</v>
      </c>
      <c r="C277" s="3">
        <v>2018.0</v>
      </c>
      <c r="D277" s="3">
        <v>76429.0</v>
      </c>
      <c r="E277" s="3" t="s">
        <v>39</v>
      </c>
      <c r="F277" s="3" t="s">
        <v>23</v>
      </c>
      <c r="G277" s="3" t="s">
        <v>24</v>
      </c>
      <c r="H277" s="3" t="s">
        <v>81</v>
      </c>
      <c r="I277" s="3" t="str">
        <f t="shared" si="19"/>
        <v>Tesla</v>
      </c>
      <c r="J277" s="15" t="str">
        <f t="shared" si="20"/>
        <v>52432</v>
      </c>
      <c r="K277" s="1" t="str">
        <f t="shared" si="21"/>
        <v>=SUBSTITUTE(H277,"$","")</v>
      </c>
    </row>
    <row r="278" ht="15.75" customHeight="1">
      <c r="B278" s="3" t="s">
        <v>46</v>
      </c>
      <c r="C278" s="3">
        <v>2013.0</v>
      </c>
      <c r="D278" s="3">
        <v>254028.0</v>
      </c>
      <c r="E278" s="3" t="s">
        <v>82</v>
      </c>
      <c r="F278" s="3" t="s">
        <v>28</v>
      </c>
      <c r="G278" s="3" t="s">
        <v>29</v>
      </c>
      <c r="H278" s="3" t="s">
        <v>83</v>
      </c>
      <c r="I278" s="3" t="str">
        <f t="shared" si="19"/>
        <v>Volvo</v>
      </c>
      <c r="J278" s="15" t="str">
        <f t="shared" si="20"/>
        <v>17452</v>
      </c>
      <c r="K278" s="1" t="str">
        <f t="shared" si="21"/>
        <v>=SUBSTITUTE(H278,"$","")</v>
      </c>
    </row>
    <row r="279" ht="15.75" customHeight="1">
      <c r="B279" s="3" t="s">
        <v>47</v>
      </c>
      <c r="C279" s="3">
        <v>2014.0</v>
      </c>
      <c r="D279" s="3">
        <v>45832.0</v>
      </c>
      <c r="E279" s="3" t="s">
        <v>22</v>
      </c>
      <c r="F279" s="3" t="s">
        <v>28</v>
      </c>
      <c r="G279" s="3" t="s">
        <v>24</v>
      </c>
      <c r="H279" s="3" t="s">
        <v>84</v>
      </c>
      <c r="I279" s="3" t="str">
        <f t="shared" si="19"/>
        <v>Audi</v>
      </c>
      <c r="J279" s="15" t="str">
        <f t="shared" si="20"/>
        <v>23250</v>
      </c>
      <c r="K279" s="1" t="str">
        <f t="shared" si="21"/>
        <v>=SUBSTITUTE(H279,"$","")</v>
      </c>
    </row>
    <row r="280" ht="15.75" customHeight="1">
      <c r="B280" s="3" t="s">
        <v>48</v>
      </c>
      <c r="C280" s="3">
        <v>2018.0</v>
      </c>
      <c r="D280" s="3">
        <v>67591.0</v>
      </c>
      <c r="E280" s="3" t="s">
        <v>35</v>
      </c>
      <c r="F280" s="3" t="s">
        <v>23</v>
      </c>
      <c r="G280" s="3" t="s">
        <v>29</v>
      </c>
      <c r="H280" s="3" t="s">
        <v>85</v>
      </c>
      <c r="I280" s="3" t="str">
        <f t="shared" si="19"/>
        <v>Cadillac</v>
      </c>
      <c r="J280" s="15" t="str">
        <f t="shared" si="20"/>
        <v>32420</v>
      </c>
      <c r="K280" s="1" t="str">
        <f t="shared" si="21"/>
        <v>=SUBSTITUTE(H280,"$","")</v>
      </c>
    </row>
    <row r="281" ht="15.75" customHeight="1">
      <c r="B281" s="3" t="s">
        <v>49</v>
      </c>
      <c r="C281" s="3">
        <v>2013.0</v>
      </c>
      <c r="D281" s="3">
        <v>85320.0</v>
      </c>
      <c r="E281" s="3" t="s">
        <v>22</v>
      </c>
      <c r="F281" s="3" t="s">
        <v>23</v>
      </c>
      <c r="G281" s="3" t="s">
        <v>29</v>
      </c>
      <c r="H281" s="3" t="s">
        <v>86</v>
      </c>
      <c r="I281" s="3" t="str">
        <f t="shared" si="19"/>
        <v>Jaguar</v>
      </c>
      <c r="J281" s="15" t="str">
        <f t="shared" si="20"/>
        <v>18454</v>
      </c>
      <c r="K281" s="1" t="str">
        <f t="shared" si="21"/>
        <v>=SUBSTITUTE(H281,"$","")</v>
      </c>
    </row>
    <row r="282" ht="15.75" customHeight="1">
      <c r="B282" s="3" t="s">
        <v>40</v>
      </c>
      <c r="C282" s="3">
        <v>2016.0</v>
      </c>
      <c r="D282" s="3">
        <v>5000.0</v>
      </c>
      <c r="E282" s="3" t="s">
        <v>22</v>
      </c>
      <c r="F282" s="3" t="s">
        <v>23</v>
      </c>
      <c r="G282" s="3" t="s">
        <v>24</v>
      </c>
      <c r="H282" s="3" t="s">
        <v>87</v>
      </c>
      <c r="I282" s="3" t="str">
        <f t="shared" si="19"/>
        <v>Lexus</v>
      </c>
      <c r="J282" s="15" t="str">
        <f t="shared" si="20"/>
        <v>41000</v>
      </c>
      <c r="K282" s="1" t="str">
        <f t="shared" si="21"/>
        <v>=SUBSTITUTE(H282,"$","")</v>
      </c>
    </row>
    <row r="283" ht="15.75" customHeight="1">
      <c r="B283" s="3" t="s">
        <v>50</v>
      </c>
      <c r="C283" s="3">
        <v>2017.0</v>
      </c>
      <c r="D283" s="3">
        <v>92450.0</v>
      </c>
      <c r="E283" s="3" t="s">
        <v>27</v>
      </c>
      <c r="F283" s="3" t="s">
        <v>28</v>
      </c>
      <c r="G283" s="3" t="s">
        <v>29</v>
      </c>
      <c r="H283" s="3" t="s">
        <v>88</v>
      </c>
      <c r="I283" s="3" t="str">
        <f t="shared" si="19"/>
        <v>BMW</v>
      </c>
      <c r="J283" s="15" t="str">
        <f t="shared" si="20"/>
        <v>35240</v>
      </c>
      <c r="K283" s="1" t="str">
        <f t="shared" si="21"/>
        <v>=SUBSTITUTE(H283,"$","")</v>
      </c>
    </row>
    <row r="284" ht="15.75" customHeight="1">
      <c r="B284" s="3" t="s">
        <v>40</v>
      </c>
      <c r="C284" s="3">
        <v>2015.0</v>
      </c>
      <c r="D284" s="3">
        <v>130000.0</v>
      </c>
      <c r="E284" s="3" t="s">
        <v>32</v>
      </c>
      <c r="F284" s="3" t="s">
        <v>23</v>
      </c>
      <c r="G284" s="3" t="s">
        <v>36</v>
      </c>
      <c r="H284" s="3" t="s">
        <v>89</v>
      </c>
      <c r="I284" s="3" t="str">
        <f t="shared" si="19"/>
        <v>Lexus</v>
      </c>
      <c r="J284" s="15" t="str">
        <f t="shared" si="20"/>
        <v>22520</v>
      </c>
      <c r="K284" s="1" t="str">
        <f t="shared" si="21"/>
        <v>=SUBSTITUTE(H284,"$","")</v>
      </c>
    </row>
    <row r="285" ht="15.75" customHeight="1"/>
    <row r="286" ht="15.75" customHeight="1">
      <c r="B286" s="4" t="s">
        <v>143</v>
      </c>
    </row>
    <row r="287" ht="15.75" customHeight="1"/>
    <row r="288" ht="15.75" customHeight="1">
      <c r="B288" s="3" t="s">
        <v>144</v>
      </c>
    </row>
    <row r="289" ht="15.75" customHeight="1"/>
    <row r="290" ht="15.75" customHeight="1">
      <c r="B290" s="1" t="s">
        <v>17</v>
      </c>
      <c r="C290" s="1" t="s">
        <v>134</v>
      </c>
    </row>
    <row r="291" ht="15.75" customHeight="1">
      <c r="B291" s="3" t="str">
        <f t="array" ref="B291:B294">UNIQUE(G267:G284)</f>
        <v>1st owner</v>
      </c>
      <c r="C291" s="3" t="str">
        <f t="shared" ref="C291:C294" si="22">AVERAGEIF($G$267:$G$284,B291,$J$267:$J$284)</f>
        <v>#DIV/0!</v>
      </c>
      <c r="D291" s="1" t="str">
        <f t="shared" ref="D291:D294" si="23">FORMULATEXT(C291)</f>
        <v>=AVERAGEIF($G$267:$G$284,B291,$J$267:$J$284)</v>
      </c>
    </row>
    <row r="292" ht="15.75" customHeight="1">
      <c r="B292" s="3" t="s">
        <v>29</v>
      </c>
      <c r="C292" s="3" t="str">
        <f t="shared" si="22"/>
        <v>#DIV/0!</v>
      </c>
      <c r="D292" s="1" t="str">
        <f t="shared" si="23"/>
        <v>=AVERAGEIF($G$267:$G$284,B292,$J$267:$J$284)</v>
      </c>
    </row>
    <row r="293" ht="15.75" customHeight="1">
      <c r="B293" s="3" t="s">
        <v>33</v>
      </c>
      <c r="C293" s="3" t="str">
        <f t="shared" si="22"/>
        <v>#DIV/0!</v>
      </c>
      <c r="D293" s="1" t="str">
        <f t="shared" si="23"/>
        <v>=AVERAGEIF($G$267:$G$284,B293,$J$267:$J$284)</v>
      </c>
    </row>
    <row r="294" ht="15.75" customHeight="1">
      <c r="B294" s="3" t="s">
        <v>36</v>
      </c>
      <c r="C294" s="3" t="str">
        <f t="shared" si="22"/>
        <v>#DIV/0!</v>
      </c>
      <c r="D294" s="1" t="str">
        <f t="shared" si="23"/>
        <v>=AVERAGEIF($G$267:$G$284,B294,$J$267:$J$284)</v>
      </c>
    </row>
    <row r="295" ht="15.75" customHeight="1"/>
    <row r="296" ht="15.75" customHeight="1">
      <c r="B296" s="3" t="s">
        <v>145</v>
      </c>
    </row>
    <row r="297" ht="15.75" customHeight="1"/>
    <row r="298" ht="15.75" customHeight="1">
      <c r="B298" s="3" t="s">
        <v>146</v>
      </c>
    </row>
    <row r="299" ht="15.75" customHeight="1">
      <c r="B299" s="3" t="s">
        <v>147</v>
      </c>
    </row>
    <row r="300" ht="15.75" customHeight="1"/>
    <row r="301" ht="15.75" customHeight="1">
      <c r="B301" s="1" t="s">
        <v>7</v>
      </c>
      <c r="C301" s="1" t="s">
        <v>11</v>
      </c>
      <c r="D301" s="1" t="s">
        <v>12</v>
      </c>
      <c r="E301" s="1" t="s">
        <v>13</v>
      </c>
      <c r="F301" s="1" t="s">
        <v>16</v>
      </c>
      <c r="G301" s="1" t="s">
        <v>17</v>
      </c>
      <c r="H301" s="1" t="s">
        <v>18</v>
      </c>
      <c r="I301" s="1" t="s">
        <v>8</v>
      </c>
      <c r="J301" s="1" t="s">
        <v>148</v>
      </c>
    </row>
    <row r="302" ht="15.75" customHeight="1">
      <c r="B302" s="3" t="s">
        <v>21</v>
      </c>
      <c r="C302" s="3">
        <v>2012.0</v>
      </c>
      <c r="D302" s="3">
        <v>342358.0</v>
      </c>
      <c r="E302" s="3" t="s">
        <v>22</v>
      </c>
      <c r="F302" s="3" t="s">
        <v>23</v>
      </c>
      <c r="G302" s="3" t="s">
        <v>24</v>
      </c>
      <c r="H302" s="3" t="s">
        <v>70</v>
      </c>
      <c r="I302" s="3" t="str">
        <f t="shared" ref="I302:I319" si="24">LEFT(B302,FIND(" ",B302)-1)</f>
        <v>BMW</v>
      </c>
      <c r="J302" s="15">
        <f t="shared" ref="J302:J319" si="25">VALUE(SUBSTITUTE(H302,"$",""))</f>
        <v>15400</v>
      </c>
      <c r="K302" s="1" t="str">
        <f t="shared" ref="K302:K319" si="26">FORMULATEXT(J302)</f>
        <v>=VALUE(SUBSTITUTE(H302,"$",""))</v>
      </c>
    </row>
    <row r="303" ht="15.75" customHeight="1">
      <c r="B303" s="3" t="s">
        <v>25</v>
      </c>
      <c r="C303" s="3">
        <v>2017.0</v>
      </c>
      <c r="D303" s="3">
        <v>130000.0</v>
      </c>
      <c r="E303" s="3" t="s">
        <v>27</v>
      </c>
      <c r="F303" s="3" t="s">
        <v>28</v>
      </c>
      <c r="G303" s="3" t="s">
        <v>29</v>
      </c>
      <c r="H303" s="3" t="s">
        <v>71</v>
      </c>
      <c r="I303" s="3" t="str">
        <f t="shared" si="24"/>
        <v>Audi</v>
      </c>
      <c r="J303" s="15">
        <f t="shared" si="25"/>
        <v>24321</v>
      </c>
      <c r="K303" s="1" t="str">
        <f t="shared" si="26"/>
        <v>=VALUE(SUBSTITUTE(H303,"$",""))</v>
      </c>
    </row>
    <row r="304" ht="15.75" customHeight="1">
      <c r="B304" s="3" t="s">
        <v>30</v>
      </c>
      <c r="C304" s="3">
        <v>2020.0</v>
      </c>
      <c r="D304" s="3">
        <v>92450.0</v>
      </c>
      <c r="E304" s="3" t="s">
        <v>32</v>
      </c>
      <c r="F304" s="3" t="s">
        <v>23</v>
      </c>
      <c r="G304" s="3" t="s">
        <v>33</v>
      </c>
      <c r="H304" s="3" t="s">
        <v>72</v>
      </c>
      <c r="I304" s="3" t="str">
        <f t="shared" si="24"/>
        <v>Mercedes</v>
      </c>
      <c r="J304" s="15">
        <f t="shared" si="25"/>
        <v>102342</v>
      </c>
      <c r="K304" s="1" t="str">
        <f t="shared" si="26"/>
        <v>=VALUE(SUBSTITUTE(H304,"$",""))</v>
      </c>
    </row>
    <row r="305" ht="15.75" customHeight="1">
      <c r="B305" s="3" t="s">
        <v>21</v>
      </c>
      <c r="C305" s="3">
        <v>2020.0</v>
      </c>
      <c r="D305" s="3">
        <v>76240.0</v>
      </c>
      <c r="E305" s="3" t="s">
        <v>22</v>
      </c>
      <c r="F305" s="3" t="s">
        <v>23</v>
      </c>
      <c r="G305" s="3" t="s">
        <v>29</v>
      </c>
      <c r="H305" s="3" t="s">
        <v>73</v>
      </c>
      <c r="I305" s="3" t="str">
        <f t="shared" si="24"/>
        <v>BMW</v>
      </c>
      <c r="J305" s="15">
        <f t="shared" si="25"/>
        <v>55272</v>
      </c>
      <c r="K305" s="1" t="str">
        <f t="shared" si="26"/>
        <v>=VALUE(SUBSTITUTE(H305,"$",""))</v>
      </c>
    </row>
    <row r="306" ht="15.75" customHeight="1">
      <c r="B306" s="3" t="s">
        <v>37</v>
      </c>
      <c r="C306" s="3">
        <v>2021.0</v>
      </c>
      <c r="D306" s="3">
        <v>17283.0</v>
      </c>
      <c r="E306" s="3" t="s">
        <v>22</v>
      </c>
      <c r="F306" s="3" t="s">
        <v>28</v>
      </c>
      <c r="G306" s="3" t="s">
        <v>24</v>
      </c>
      <c r="H306" s="3" t="s">
        <v>74</v>
      </c>
      <c r="I306" s="3" t="str">
        <f t="shared" si="24"/>
        <v>BMW</v>
      </c>
      <c r="J306" s="15">
        <f t="shared" si="25"/>
        <v>42000</v>
      </c>
      <c r="K306" s="1" t="str">
        <f t="shared" si="26"/>
        <v>=VALUE(SUBSTITUTE(H306,"$",""))</v>
      </c>
    </row>
    <row r="307" ht="15.75" customHeight="1">
      <c r="B307" s="3" t="s">
        <v>40</v>
      </c>
      <c r="C307" s="3">
        <v>2020.0</v>
      </c>
      <c r="D307" s="3">
        <v>98312.0</v>
      </c>
      <c r="E307" s="3" t="s">
        <v>27</v>
      </c>
      <c r="F307" s="3" t="s">
        <v>23</v>
      </c>
      <c r="G307" s="3" t="s">
        <v>33</v>
      </c>
      <c r="H307" s="3" t="s">
        <v>75</v>
      </c>
      <c r="I307" s="3" t="str">
        <f t="shared" si="24"/>
        <v>Lexus</v>
      </c>
      <c r="J307" s="15">
        <f t="shared" si="25"/>
        <v>51292</v>
      </c>
      <c r="K307" s="1" t="str">
        <f t="shared" si="26"/>
        <v>=VALUE(SUBSTITUTE(H307,"$",""))</v>
      </c>
    </row>
    <row r="308" ht="15.75" customHeight="1">
      <c r="B308" s="3" t="s">
        <v>37</v>
      </c>
      <c r="C308" s="3">
        <v>2018.0</v>
      </c>
      <c r="D308" s="3">
        <v>156784.0</v>
      </c>
      <c r="E308" s="3" t="s">
        <v>35</v>
      </c>
      <c r="F308" s="3" t="s">
        <v>28</v>
      </c>
      <c r="G308" s="3" t="s">
        <v>33</v>
      </c>
      <c r="H308" s="3" t="s">
        <v>76</v>
      </c>
      <c r="I308" s="3" t="str">
        <f t="shared" si="24"/>
        <v>BMW</v>
      </c>
      <c r="J308" s="15">
        <f t="shared" si="25"/>
        <v>37605</v>
      </c>
      <c r="K308" s="1" t="str">
        <f t="shared" si="26"/>
        <v>=VALUE(SUBSTITUTE(H308,"$",""))</v>
      </c>
    </row>
    <row r="309" ht="15.75" customHeight="1">
      <c r="B309" s="3" t="s">
        <v>21</v>
      </c>
      <c r="C309" s="3">
        <v>2019.0</v>
      </c>
      <c r="D309" s="3">
        <v>52034.0</v>
      </c>
      <c r="E309" s="3" t="s">
        <v>77</v>
      </c>
      <c r="F309" s="3" t="s">
        <v>23</v>
      </c>
      <c r="G309" s="3" t="s">
        <v>24</v>
      </c>
      <c r="H309" s="3" t="s">
        <v>78</v>
      </c>
      <c r="I309" s="3" t="str">
        <f t="shared" si="24"/>
        <v>BMW</v>
      </c>
      <c r="J309" s="15">
        <f t="shared" si="25"/>
        <v>45000</v>
      </c>
      <c r="K309" s="1" t="str">
        <f t="shared" si="26"/>
        <v>=VALUE(SUBSTITUTE(H309,"$",""))</v>
      </c>
    </row>
    <row r="310" ht="15.75" customHeight="1">
      <c r="B310" s="3" t="s">
        <v>44</v>
      </c>
      <c r="C310" s="3">
        <v>2011.0</v>
      </c>
      <c r="D310" s="3">
        <v>205204.0</v>
      </c>
      <c r="E310" s="3" t="s">
        <v>27</v>
      </c>
      <c r="F310" s="3" t="s">
        <v>23</v>
      </c>
      <c r="G310" s="3" t="s">
        <v>29</v>
      </c>
      <c r="H310" s="3" t="s">
        <v>79</v>
      </c>
      <c r="I310" s="3" t="str">
        <f t="shared" si="24"/>
        <v>BMW</v>
      </c>
      <c r="J310" s="15">
        <f t="shared" si="25"/>
        <v>13241</v>
      </c>
      <c r="K310" s="1" t="str">
        <f t="shared" si="26"/>
        <v>=VALUE(SUBSTITUTE(H310,"$",""))</v>
      </c>
    </row>
    <row r="311" ht="15.75" customHeight="1">
      <c r="B311" s="3" t="s">
        <v>30</v>
      </c>
      <c r="C311" s="3">
        <v>2014.0</v>
      </c>
      <c r="D311" s="3">
        <v>152985.0</v>
      </c>
      <c r="E311" s="3" t="s">
        <v>32</v>
      </c>
      <c r="F311" s="3" t="s">
        <v>23</v>
      </c>
      <c r="G311" s="3" t="s">
        <v>29</v>
      </c>
      <c r="H311" s="3" t="s">
        <v>80</v>
      </c>
      <c r="I311" s="3" t="str">
        <f t="shared" si="24"/>
        <v>Mercedes</v>
      </c>
      <c r="J311" s="15">
        <f t="shared" si="25"/>
        <v>49344</v>
      </c>
      <c r="K311" s="1" t="str">
        <f t="shared" si="26"/>
        <v>=VALUE(SUBSTITUTE(H311,"$",""))</v>
      </c>
    </row>
    <row r="312" ht="15.75" customHeight="1">
      <c r="B312" s="3" t="s">
        <v>45</v>
      </c>
      <c r="C312" s="3">
        <v>2018.0</v>
      </c>
      <c r="D312" s="3">
        <v>76429.0</v>
      </c>
      <c r="E312" s="3" t="s">
        <v>39</v>
      </c>
      <c r="F312" s="3" t="s">
        <v>23</v>
      </c>
      <c r="G312" s="3" t="s">
        <v>24</v>
      </c>
      <c r="H312" s="3" t="s">
        <v>81</v>
      </c>
      <c r="I312" s="3" t="str">
        <f t="shared" si="24"/>
        <v>Tesla</v>
      </c>
      <c r="J312" s="15">
        <f t="shared" si="25"/>
        <v>52432</v>
      </c>
      <c r="K312" s="1" t="str">
        <f t="shared" si="26"/>
        <v>=VALUE(SUBSTITUTE(H312,"$",""))</v>
      </c>
    </row>
    <row r="313" ht="15.75" customHeight="1">
      <c r="B313" s="3" t="s">
        <v>46</v>
      </c>
      <c r="C313" s="3">
        <v>2013.0</v>
      </c>
      <c r="D313" s="3">
        <v>254028.0</v>
      </c>
      <c r="E313" s="3" t="s">
        <v>82</v>
      </c>
      <c r="F313" s="3" t="s">
        <v>28</v>
      </c>
      <c r="G313" s="3" t="s">
        <v>29</v>
      </c>
      <c r="H313" s="3" t="s">
        <v>83</v>
      </c>
      <c r="I313" s="3" t="str">
        <f t="shared" si="24"/>
        <v>Volvo</v>
      </c>
      <c r="J313" s="15">
        <f t="shared" si="25"/>
        <v>17452</v>
      </c>
      <c r="K313" s="1" t="str">
        <f t="shared" si="26"/>
        <v>=VALUE(SUBSTITUTE(H313,"$",""))</v>
      </c>
    </row>
    <row r="314" ht="15.75" customHeight="1">
      <c r="B314" s="3" t="s">
        <v>47</v>
      </c>
      <c r="C314" s="3">
        <v>2014.0</v>
      </c>
      <c r="D314" s="3">
        <v>45832.0</v>
      </c>
      <c r="E314" s="3" t="s">
        <v>22</v>
      </c>
      <c r="F314" s="3" t="s">
        <v>28</v>
      </c>
      <c r="G314" s="3" t="s">
        <v>24</v>
      </c>
      <c r="H314" s="3" t="s">
        <v>84</v>
      </c>
      <c r="I314" s="3" t="str">
        <f t="shared" si="24"/>
        <v>Audi</v>
      </c>
      <c r="J314" s="15">
        <f t="shared" si="25"/>
        <v>23250</v>
      </c>
      <c r="K314" s="1" t="str">
        <f t="shared" si="26"/>
        <v>=VALUE(SUBSTITUTE(H314,"$",""))</v>
      </c>
    </row>
    <row r="315" ht="15.75" customHeight="1">
      <c r="B315" s="3" t="s">
        <v>48</v>
      </c>
      <c r="C315" s="3">
        <v>2018.0</v>
      </c>
      <c r="D315" s="3">
        <v>67591.0</v>
      </c>
      <c r="E315" s="3" t="s">
        <v>35</v>
      </c>
      <c r="F315" s="3" t="s">
        <v>23</v>
      </c>
      <c r="G315" s="3" t="s">
        <v>29</v>
      </c>
      <c r="H315" s="3" t="s">
        <v>85</v>
      </c>
      <c r="I315" s="3" t="str">
        <f t="shared" si="24"/>
        <v>Cadillac</v>
      </c>
      <c r="J315" s="15">
        <f t="shared" si="25"/>
        <v>32420</v>
      </c>
      <c r="K315" s="1" t="str">
        <f t="shared" si="26"/>
        <v>=VALUE(SUBSTITUTE(H315,"$",""))</v>
      </c>
    </row>
    <row r="316" ht="15.75" customHeight="1">
      <c r="B316" s="3" t="s">
        <v>49</v>
      </c>
      <c r="C316" s="3">
        <v>2013.0</v>
      </c>
      <c r="D316" s="3">
        <v>85320.0</v>
      </c>
      <c r="E316" s="3" t="s">
        <v>22</v>
      </c>
      <c r="F316" s="3" t="s">
        <v>23</v>
      </c>
      <c r="G316" s="3" t="s">
        <v>29</v>
      </c>
      <c r="H316" s="3" t="s">
        <v>86</v>
      </c>
      <c r="I316" s="3" t="str">
        <f t="shared" si="24"/>
        <v>Jaguar</v>
      </c>
      <c r="J316" s="15">
        <f t="shared" si="25"/>
        <v>18454</v>
      </c>
      <c r="K316" s="1" t="str">
        <f t="shared" si="26"/>
        <v>=VALUE(SUBSTITUTE(H316,"$",""))</v>
      </c>
    </row>
    <row r="317" ht="15.75" customHeight="1">
      <c r="B317" s="3" t="s">
        <v>40</v>
      </c>
      <c r="C317" s="3">
        <v>2016.0</v>
      </c>
      <c r="D317" s="3">
        <v>5000.0</v>
      </c>
      <c r="E317" s="3" t="s">
        <v>22</v>
      </c>
      <c r="F317" s="3" t="s">
        <v>23</v>
      </c>
      <c r="G317" s="3" t="s">
        <v>24</v>
      </c>
      <c r="H317" s="3" t="s">
        <v>87</v>
      </c>
      <c r="I317" s="3" t="str">
        <f t="shared" si="24"/>
        <v>Lexus</v>
      </c>
      <c r="J317" s="15">
        <f t="shared" si="25"/>
        <v>41000</v>
      </c>
      <c r="K317" s="1" t="str">
        <f t="shared" si="26"/>
        <v>=VALUE(SUBSTITUTE(H317,"$",""))</v>
      </c>
    </row>
    <row r="318" ht="15.75" customHeight="1">
      <c r="B318" s="3" t="s">
        <v>50</v>
      </c>
      <c r="C318" s="3">
        <v>2017.0</v>
      </c>
      <c r="D318" s="3">
        <v>92450.0</v>
      </c>
      <c r="E318" s="3" t="s">
        <v>27</v>
      </c>
      <c r="F318" s="3" t="s">
        <v>28</v>
      </c>
      <c r="G318" s="3" t="s">
        <v>29</v>
      </c>
      <c r="H318" s="3" t="s">
        <v>88</v>
      </c>
      <c r="I318" s="3" t="str">
        <f t="shared" si="24"/>
        <v>BMW</v>
      </c>
      <c r="J318" s="15">
        <f t="shared" si="25"/>
        <v>35240</v>
      </c>
      <c r="K318" s="1" t="str">
        <f t="shared" si="26"/>
        <v>=VALUE(SUBSTITUTE(H318,"$",""))</v>
      </c>
    </row>
    <row r="319" ht="15.75" customHeight="1">
      <c r="B319" s="3" t="s">
        <v>40</v>
      </c>
      <c r="C319" s="3">
        <v>2015.0</v>
      </c>
      <c r="D319" s="3">
        <v>130000.0</v>
      </c>
      <c r="E319" s="3" t="s">
        <v>32</v>
      </c>
      <c r="F319" s="3" t="s">
        <v>23</v>
      </c>
      <c r="G319" s="3" t="s">
        <v>36</v>
      </c>
      <c r="H319" s="3" t="s">
        <v>89</v>
      </c>
      <c r="I319" s="3" t="str">
        <f t="shared" si="24"/>
        <v>Lexus</v>
      </c>
      <c r="J319" s="15">
        <f t="shared" si="25"/>
        <v>22520</v>
      </c>
      <c r="K319" s="1" t="str">
        <f t="shared" si="26"/>
        <v>=VALUE(SUBSTITUTE(H319,"$",""))</v>
      </c>
    </row>
    <row r="320" ht="15.75" customHeight="1"/>
    <row r="321" ht="15.75" customHeight="1">
      <c r="B321" s="4" t="s">
        <v>149</v>
      </c>
    </row>
    <row r="322" ht="15.75" customHeight="1"/>
    <row r="323" ht="15.75" customHeight="1">
      <c r="B323" s="3" t="s">
        <v>150</v>
      </c>
    </row>
    <row r="324" ht="15.75" customHeight="1"/>
    <row r="325" ht="15.75" customHeight="1">
      <c r="B325" s="1" t="s">
        <v>17</v>
      </c>
      <c r="C325" s="1" t="s">
        <v>134</v>
      </c>
    </row>
    <row r="326" ht="15.75" customHeight="1">
      <c r="B326" s="3" t="str">
        <f t="array" ref="B326:B329">UNIQUE(G302:G319)</f>
        <v>1st owner</v>
      </c>
      <c r="C326" s="15">
        <f t="shared" ref="C326:C329" si="27">AVERAGEIF($G$267:$G$284,B326,$J$302:$J$319)</f>
        <v>36513.66667</v>
      </c>
      <c r="D326" s="1" t="str">
        <f t="shared" ref="D326:D329" si="28">FORMULATEXT(C326)</f>
        <v>=AVERAGEIF($G$267:$G$284,B326,$J$302:$J$319)</v>
      </c>
    </row>
    <row r="327" ht="15.75" customHeight="1">
      <c r="B327" s="3" t="s">
        <v>29</v>
      </c>
      <c r="C327" s="15">
        <f t="shared" si="27"/>
        <v>30718</v>
      </c>
      <c r="D327" s="1" t="str">
        <f t="shared" si="28"/>
        <v>=AVERAGEIF($G$267:$G$284,B327,$J$302:$J$319)</v>
      </c>
    </row>
    <row r="328" ht="15.75" customHeight="1">
      <c r="B328" s="3" t="s">
        <v>33</v>
      </c>
      <c r="C328" s="15">
        <f t="shared" si="27"/>
        <v>63746.33333</v>
      </c>
      <c r="D328" s="1" t="str">
        <f t="shared" si="28"/>
        <v>=AVERAGEIF($G$267:$G$284,B328,$J$302:$J$319)</v>
      </c>
    </row>
    <row r="329" ht="15.75" customHeight="1">
      <c r="B329" s="3" t="s">
        <v>36</v>
      </c>
      <c r="C329" s="15">
        <f t="shared" si="27"/>
        <v>22520</v>
      </c>
      <c r="D329" s="1" t="str">
        <f t="shared" si="28"/>
        <v>=AVERAGEIF($G$267:$G$284,B329,$J$302:$J$319)</v>
      </c>
    </row>
    <row r="330" ht="15.75" customHeight="1"/>
    <row r="331" ht="15.75" customHeight="1">
      <c r="B331" s="16" t="s">
        <v>151</v>
      </c>
    </row>
    <row r="332" ht="15.75" customHeight="1"/>
    <row r="333" ht="15.75" customHeight="1"/>
    <row r="334" ht="15.75" customHeight="1"/>
    <row r="335" ht="15.75" customHeight="1"/>
    <row r="336" ht="15.75" customHeight="1"/>
    <row r="337" ht="15.75" customHeight="1"/>
    <row r="338" ht="15.75" customHeight="1"/>
    <row r="339" ht="15.75" customHeight="1"/>
    <row r="340" ht="15.75" customHeight="1">
      <c r="B340" s="3" t="s">
        <v>152</v>
      </c>
    </row>
    <row r="341" ht="15.75" customHeight="1">
      <c r="B341" s="19" t="s">
        <v>153</v>
      </c>
    </row>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B51"/>
    <hyperlink r:id="rId2" ref="B52"/>
    <hyperlink r:id="rId3" ref="B82"/>
    <hyperlink r:id="rId4" ref="B85"/>
    <hyperlink r:id="rId5" ref="B101"/>
    <hyperlink r:id="rId6" ref="B102"/>
    <hyperlink r:id="rId7" ref="B130"/>
    <hyperlink r:id="rId8" ref="B156"/>
    <hyperlink r:id="rId9" ref="B157"/>
    <hyperlink r:id="rId10" ref="B236"/>
    <hyperlink r:id="rId11" ref="B248"/>
    <hyperlink r:id="rId12" ref="B286"/>
    <hyperlink r:id="rId13" ref="B321"/>
    <hyperlink r:id="rId14" ref="B341"/>
  </hyperlinks>
  <printOptions/>
  <pageMargins bottom="0.75" footer="0.0" header="0.0" left="0.7" right="0.7" top="0.75"/>
  <pageSetup orientation="landscape"/>
  <drawing r:id="rId15"/>
</worksheet>
</file>